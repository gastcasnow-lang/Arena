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Arena\"/>
    </mc:Choice>
  </mc:AlternateContent>
  <xr:revisionPtr revIDLastSave="0" documentId="8_{E3AF3BDA-76A3-4FE4-9238-E0BEF5DC1939}" xr6:coauthVersionLast="47" xr6:coauthVersionMax="47" xr10:uidLastSave="{00000000-0000-0000-0000-000000000000}"/>
  <bookViews>
    <workbookView xWindow="28680" yWindow="-120" windowWidth="38640" windowHeight="21240" tabRatio="790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ContinuousTimeStatsByRep!$A$1:$L$14</definedName>
    <definedName name="ExternalData_1" localSheetId="4" hidden="1">CounterStatsByRep!$A$1:$G$3</definedName>
    <definedName name="ExternalData_1" localSheetId="2" hidden="1">DiscreteTimeStatsByRep!$A$1:$K$12</definedName>
    <definedName name="ExternalData_1" localSheetId="6" hidden="1">FrequencyStatsByRep!$A$1:$K$2</definedName>
    <definedName name="ExternalData_1" localSheetId="5" hidden="1">OutputStatsByRep!$A$1:$H$10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226" r:id="rId8"/>
    <pivotCache cacheId="233" r:id="rId9"/>
    <pivotCache cacheId="240" r:id="rId10"/>
    <pivotCache cacheId="247" r:id="rId11"/>
    <pivotCache cacheId="254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20" l="1"/>
  <c r="I3" i="20"/>
  <c r="K10" i="20" s="1" a="1"/>
  <c r="K10" i="20" s="1"/>
  <c r="I4" i="20"/>
  <c r="I5" i="20"/>
  <c r="I6" i="20"/>
  <c r="I7" i="20"/>
  <c r="I8" i="20"/>
  <c r="I9" i="20"/>
  <c r="O9" i="20" s="1" a="1"/>
  <c r="O9" i="20" s="1"/>
  <c r="I10" i="20"/>
  <c r="J2" i="20" a="1"/>
  <c r="J2" i="20" s="1"/>
  <c r="J3" i="20" a="1"/>
  <c r="J3" i="20" s="1"/>
  <c r="J4" i="20" a="1"/>
  <c r="J4" i="20" s="1"/>
  <c r="J5" i="20" a="1"/>
  <c r="J5" i="20" s="1"/>
  <c r="J6" i="20" a="1"/>
  <c r="J6" i="20"/>
  <c r="J7" i="20" a="1"/>
  <c r="J7" i="20" s="1"/>
  <c r="J8" i="20" a="1"/>
  <c r="J8" i="20" s="1"/>
  <c r="J9" i="20" a="1"/>
  <c r="J9" i="20" s="1"/>
  <c r="J10" i="20" a="1"/>
  <c r="J10" i="20" s="1"/>
  <c r="K8" i="20" a="1"/>
  <c r="K8" i="20" s="1"/>
  <c r="L3" i="20" a="1"/>
  <c r="L3" i="20" s="1"/>
  <c r="L7" i="20" a="1"/>
  <c r="L7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P5" i="20" a="1"/>
  <c r="P5" i="20" s="1"/>
  <c r="P9" i="20" a="1"/>
  <c r="P9" i="20" s="1"/>
  <c r="H2" i="19"/>
  <c r="K3" i="19" s="1" a="1"/>
  <c r="K3" i="19" s="1"/>
  <c r="H3" i="19"/>
  <c r="I2" i="19" a="1"/>
  <c r="I2" i="19" s="1"/>
  <c r="I3" i="19" a="1"/>
  <c r="I3" i="19" s="1"/>
  <c r="J2" i="19" a="1"/>
  <c r="J2" i="19" s="1"/>
  <c r="K2" i="19" a="1"/>
  <c r="K2" i="19" s="1"/>
  <c r="L2" i="19" a="1"/>
  <c r="L2" i="19"/>
  <c r="L3" i="19" a="1"/>
  <c r="L3" i="19" s="1"/>
  <c r="O2" i="19" a="1"/>
  <c r="O2" i="19" s="1"/>
  <c r="O3" i="19" a="1"/>
  <c r="O3" i="19" s="1"/>
  <c r="M2" i="18"/>
  <c r="M3" i="18"/>
  <c r="M4" i="18"/>
  <c r="M5" i="18"/>
  <c r="M6" i="18"/>
  <c r="O8" i="18" s="1" a="1"/>
  <c r="O8" i="18" s="1"/>
  <c r="M7" i="18"/>
  <c r="M8" i="18"/>
  <c r="M9" i="18"/>
  <c r="T9" i="18" s="1" a="1"/>
  <c r="T9" i="18" s="1"/>
  <c r="M10" i="18"/>
  <c r="M11" i="18"/>
  <c r="M12" i="18"/>
  <c r="M13" i="18"/>
  <c r="M14" i="18"/>
  <c r="P14" i="18" s="1" a="1"/>
  <c r="P14" i="18" s="1"/>
  <c r="N2" i="18" a="1"/>
  <c r="N2" i="18" s="1"/>
  <c r="N3" i="18" a="1"/>
  <c r="N3" i="18"/>
  <c r="N4" i="18" a="1"/>
  <c r="N4" i="18" s="1"/>
  <c r="N5" i="18" a="1"/>
  <c r="N5" i="18" s="1"/>
  <c r="N6" i="18" a="1"/>
  <c r="N6" i="18" s="1"/>
  <c r="N7" i="18" a="1"/>
  <c r="N7" i="18"/>
  <c r="U7" i="18" s="1"/>
  <c r="N8" i="18" a="1"/>
  <c r="N8" i="18" s="1"/>
  <c r="N9" i="18" a="1"/>
  <c r="N9" i="18" s="1"/>
  <c r="N10" i="18" a="1"/>
  <c r="N10" i="18" s="1"/>
  <c r="N11" i="18" a="1"/>
  <c r="N11" i="18"/>
  <c r="N12" i="18" a="1"/>
  <c r="N12" i="18" s="1"/>
  <c r="N13" i="18" a="1"/>
  <c r="N13" i="18" s="1"/>
  <c r="N14" i="18" a="1"/>
  <c r="N14" i="18" s="1"/>
  <c r="O7" i="18" a="1"/>
  <c r="O7" i="18" s="1"/>
  <c r="P5" i="18" a="1"/>
  <c r="P5" i="18" s="1"/>
  <c r="P13" i="18" a="1"/>
  <c r="P13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S14" i="18" a="1"/>
  <c r="S14" i="18" s="1"/>
  <c r="T7" i="18" a="1"/>
  <c r="T7" i="18" s="1"/>
  <c r="T11" i="18" a="1"/>
  <c r="T11" i="18" s="1"/>
  <c r="U3" i="18"/>
  <c r="U11" i="18"/>
  <c r="L2" i="17"/>
  <c r="L3" i="17"/>
  <c r="L4" i="17"/>
  <c r="L5" i="17"/>
  <c r="S11" i="17" s="1" a="1"/>
  <c r="S11" i="17" s="1"/>
  <c r="L6" i="17"/>
  <c r="R6" i="17" s="1" a="1"/>
  <c r="R6" i="17" s="1"/>
  <c r="L7" i="17"/>
  <c r="L8" i="17"/>
  <c r="V8" i="17" s="1" a="1"/>
  <c r="V8" i="17" s="1"/>
  <c r="L9" i="17"/>
  <c r="L10" i="17"/>
  <c r="L11" i="17"/>
  <c r="L12" i="17"/>
  <c r="M2" i="17" a="1"/>
  <c r="M2" i="17" s="1"/>
  <c r="M3" i="17" a="1"/>
  <c r="M3" i="17" s="1"/>
  <c r="W3" i="17" s="1"/>
  <c r="M4" i="17" a="1"/>
  <c r="M4" i="17" s="1"/>
  <c r="M5" i="17" a="1"/>
  <c r="M5" i="17" s="1"/>
  <c r="M6" i="17" a="1"/>
  <c r="M6" i="17" s="1"/>
  <c r="M7" i="17" a="1"/>
  <c r="M7" i="17" s="1"/>
  <c r="W7" i="17" s="1"/>
  <c r="M8" i="17" a="1"/>
  <c r="M8" i="17" s="1"/>
  <c r="M9" i="17" a="1"/>
  <c r="M9" i="17" s="1"/>
  <c r="M10" i="17" a="1"/>
  <c r="M10" i="17" s="1"/>
  <c r="M11" i="17" a="1"/>
  <c r="M11" i="17" s="1"/>
  <c r="W11" i="17" s="1"/>
  <c r="M12" i="17" a="1"/>
  <c r="M12" i="17" s="1"/>
  <c r="P2" i="17" a="1"/>
  <c r="P2" i="17" s="1"/>
  <c r="P3" i="17" a="1"/>
  <c r="P3" i="17" s="1"/>
  <c r="P4" i="17" a="1"/>
  <c r="P4" i="17" s="1"/>
  <c r="P5" i="17" a="1"/>
  <c r="P5" i="17" s="1"/>
  <c r="P6" i="17" a="1"/>
  <c r="P6" i="17"/>
  <c r="P7" i="17" a="1"/>
  <c r="P7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G2" i="16"/>
  <c r="K6" i="20" l="1" a="1"/>
  <c r="K6" i="20" s="1"/>
  <c r="L10" i="20" a="1"/>
  <c r="L10" i="20" s="1"/>
  <c r="N10" i="20" s="1"/>
  <c r="K4" i="20" a="1"/>
  <c r="K4" i="20" s="1"/>
  <c r="L9" i="20" a="1"/>
  <c r="L9" i="20" s="1"/>
  <c r="N9" i="20" s="1"/>
  <c r="O5" i="20" a="1"/>
  <c r="O5" i="20" s="1"/>
  <c r="N3" i="20"/>
  <c r="L5" i="20" a="1"/>
  <c r="L5" i="20" s="1"/>
  <c r="N5" i="20" s="1"/>
  <c r="P4" i="20" a="1"/>
  <c r="P4" i="20" s="1"/>
  <c r="N7" i="20"/>
  <c r="P7" i="20" a="1"/>
  <c r="P7" i="20" s="1"/>
  <c r="P3" i="20" a="1"/>
  <c r="P3" i="20" s="1"/>
  <c r="O8" i="20" a="1"/>
  <c r="O8" i="20" s="1"/>
  <c r="O4" i="20" a="1"/>
  <c r="O4" i="20" s="1"/>
  <c r="L6" i="20" a="1"/>
  <c r="L6" i="20" s="1"/>
  <c r="N6" i="20" s="1"/>
  <c r="L2" i="20" a="1"/>
  <c r="L2" i="20" s="1"/>
  <c r="N2" i="20" s="1"/>
  <c r="K7" i="20" a="1"/>
  <c r="K7" i="20" s="1"/>
  <c r="K3" i="20" a="1"/>
  <c r="K3" i="20" s="1"/>
  <c r="P10" i="20" a="1"/>
  <c r="P10" i="20" s="1"/>
  <c r="P6" i="20" a="1"/>
  <c r="P6" i="20" s="1"/>
  <c r="P2" i="20" a="1"/>
  <c r="P2" i="20" s="1"/>
  <c r="O7" i="20" a="1"/>
  <c r="O7" i="20" s="1"/>
  <c r="O3" i="20" a="1"/>
  <c r="O3" i="20" s="1"/>
  <c r="K2" i="20" a="1"/>
  <c r="K2" i="20" s="1"/>
  <c r="O2" i="20" a="1"/>
  <c r="O2" i="20" s="1"/>
  <c r="O10" i="20" a="1"/>
  <c r="O10" i="20" s="1"/>
  <c r="L8" i="20" a="1"/>
  <c r="L8" i="20" s="1"/>
  <c r="N8" i="20" s="1"/>
  <c r="L4" i="20" a="1"/>
  <c r="L4" i="20" s="1"/>
  <c r="N4" i="20" s="1"/>
  <c r="K9" i="20" a="1"/>
  <c r="K9" i="20" s="1"/>
  <c r="K5" i="20" a="1"/>
  <c r="K5" i="20" s="1"/>
  <c r="O6" i="20" a="1"/>
  <c r="O6" i="20" s="1"/>
  <c r="P8" i="20" a="1"/>
  <c r="P8" i="20" s="1"/>
  <c r="M3" i="19"/>
  <c r="N3" i="19" a="1"/>
  <c r="N3" i="19" s="1"/>
  <c r="J3" i="19" a="1"/>
  <c r="J3" i="19" s="1"/>
  <c r="N2" i="19" a="1"/>
  <c r="N2" i="19" s="1"/>
  <c r="M2" i="19"/>
  <c r="T12" i="18" a="1"/>
  <c r="T12" i="18" s="1"/>
  <c r="T3" i="18" a="1"/>
  <c r="T3" i="18" s="1"/>
  <c r="S6" i="18" a="1"/>
  <c r="S6" i="18" s="1"/>
  <c r="P12" i="18" a="1"/>
  <c r="P12" i="18" s="1"/>
  <c r="P4" i="18" a="1"/>
  <c r="P4" i="18" s="1"/>
  <c r="R4" i="18" s="1"/>
  <c r="O4" i="18" a="1"/>
  <c r="O4" i="18" s="1"/>
  <c r="T8" i="18" a="1"/>
  <c r="T8" i="18" s="1"/>
  <c r="P11" i="18" a="1"/>
  <c r="P11" i="18" s="1"/>
  <c r="R11" i="18" s="1"/>
  <c r="P3" i="18" a="1"/>
  <c r="P3" i="18" s="1"/>
  <c r="O3" i="18" a="1"/>
  <c r="O3" i="18" s="1"/>
  <c r="P2" i="18" a="1"/>
  <c r="P2" i="18" s="1"/>
  <c r="P9" i="18" a="1"/>
  <c r="P9" i="18" s="1"/>
  <c r="O14" i="18" a="1"/>
  <c r="O14" i="18" s="1"/>
  <c r="O13" i="18" a="1"/>
  <c r="O13" i="18" s="1"/>
  <c r="S5" i="18" a="1"/>
  <c r="S5" i="18" s="1"/>
  <c r="P10" i="18" a="1"/>
  <c r="P10" i="18" s="1"/>
  <c r="R10" i="18" s="1"/>
  <c r="T10" i="18" a="1"/>
  <c r="T10" i="18" s="1"/>
  <c r="S13" i="18" a="1"/>
  <c r="S13" i="18" s="1"/>
  <c r="P8" i="18" a="1"/>
  <c r="P8" i="18" s="1"/>
  <c r="O12" i="18" a="1"/>
  <c r="O12" i="18" s="1"/>
  <c r="S4" i="18" a="1"/>
  <c r="S4" i="18" s="1"/>
  <c r="T14" i="18" a="1"/>
  <c r="T14" i="18" s="1"/>
  <c r="T5" i="18" a="1"/>
  <c r="T5" i="18" s="1"/>
  <c r="P7" i="18" a="1"/>
  <c r="P7" i="18" s="1"/>
  <c r="R7" i="18" s="1"/>
  <c r="O11" i="18" a="1"/>
  <c r="O11" i="18" s="1"/>
  <c r="S11" i="18" a="1"/>
  <c r="S11" i="18" s="1"/>
  <c r="S9" i="18" a="1"/>
  <c r="S9" i="18" s="1"/>
  <c r="T13" i="18" a="1"/>
  <c r="T13" i="18" s="1"/>
  <c r="T4" i="18" a="1"/>
  <c r="T4" i="18" s="1"/>
  <c r="S10" i="18" a="1"/>
  <c r="S10" i="18" s="1"/>
  <c r="P6" i="18" a="1"/>
  <c r="P6" i="18" s="1"/>
  <c r="R6" i="18" s="1"/>
  <c r="S7" i="18" a="1"/>
  <c r="S7" i="18" s="1"/>
  <c r="U10" i="18"/>
  <c r="R3" i="18"/>
  <c r="U4" i="18"/>
  <c r="R9" i="18"/>
  <c r="U9" i="18"/>
  <c r="U8" i="18"/>
  <c r="R8" i="18"/>
  <c r="R2" i="18"/>
  <c r="U2" i="18"/>
  <c r="R14" i="18"/>
  <c r="U14" i="18"/>
  <c r="R5" i="18"/>
  <c r="U5" i="18"/>
  <c r="R13" i="18"/>
  <c r="U13" i="18"/>
  <c r="U12" i="18"/>
  <c r="R12" i="18"/>
  <c r="U6" i="18"/>
  <c r="O10" i="18" a="1"/>
  <c r="O10" i="18" s="1"/>
  <c r="O6" i="18" a="1"/>
  <c r="O6" i="18" s="1"/>
  <c r="O2" i="18" a="1"/>
  <c r="O2" i="18" s="1"/>
  <c r="S12" i="18" a="1"/>
  <c r="S12" i="18" s="1"/>
  <c r="S8" i="18" a="1"/>
  <c r="S8" i="18" s="1"/>
  <c r="O9" i="18" a="1"/>
  <c r="O9" i="18" s="1"/>
  <c r="O5" i="18" a="1"/>
  <c r="O5" i="18" s="1"/>
  <c r="T6" i="18" a="1"/>
  <c r="T6" i="18" s="1"/>
  <c r="T2" i="18" a="1"/>
  <c r="T2" i="18" s="1"/>
  <c r="S3" i="18" a="1"/>
  <c r="S3" i="18" s="1"/>
  <c r="S2" i="18" a="1"/>
  <c r="S2" i="18" s="1"/>
  <c r="T12" i="17" a="1"/>
  <c r="T12" i="17" s="1"/>
  <c r="V5" i="17" a="1"/>
  <c r="V5" i="17" s="1"/>
  <c r="R2" i="17" a="1"/>
  <c r="R2" i="17" s="1"/>
  <c r="X8" i="17" a="1"/>
  <c r="X8" i="17" s="1"/>
  <c r="Y8" i="17" s="1"/>
  <c r="V9" i="17" a="1"/>
  <c r="V9" i="17" s="1"/>
  <c r="V7" i="17" a="1"/>
  <c r="V7" i="17" s="1"/>
  <c r="T8" i="17" a="1"/>
  <c r="T8" i="17" s="1"/>
  <c r="R3" i="17" a="1"/>
  <c r="R3" i="17" s="1"/>
  <c r="X12" i="17" a="1"/>
  <c r="X12" i="17" s="1"/>
  <c r="Y12" i="17" s="1"/>
  <c r="V6" i="17" a="1"/>
  <c r="V6" i="17" s="1"/>
  <c r="T4" i="17" a="1"/>
  <c r="T4" i="17" s="1"/>
  <c r="V12" i="17" a="1"/>
  <c r="V12" i="17" s="1"/>
  <c r="V3" i="17" a="1"/>
  <c r="V3" i="17" s="1"/>
  <c r="S7" i="17" a="1"/>
  <c r="S7" i="17" s="1"/>
  <c r="V11" i="17" a="1"/>
  <c r="V11" i="17" s="1"/>
  <c r="V2" i="17" a="1"/>
  <c r="V2" i="17" s="1"/>
  <c r="S3" i="17" a="1"/>
  <c r="S3" i="17" s="1"/>
  <c r="V10" i="17" a="1"/>
  <c r="V10" i="17" s="1"/>
  <c r="U9" i="17" a="1"/>
  <c r="U9" i="17" s="1"/>
  <c r="R10" i="17" a="1"/>
  <c r="R10" i="17" s="1"/>
  <c r="U5" i="17" a="1"/>
  <c r="U5" i="17" s="1"/>
  <c r="W5" i="17"/>
  <c r="W10" i="17"/>
  <c r="W9" i="17"/>
  <c r="W8" i="17"/>
  <c r="W2" i="17"/>
  <c r="W4" i="17"/>
  <c r="W12" i="17"/>
  <c r="W6" i="17"/>
  <c r="X10" i="17" a="1"/>
  <c r="X10" i="17" s="1"/>
  <c r="Y10" i="17" s="1"/>
  <c r="X6" i="17" a="1"/>
  <c r="X6" i="17" s="1"/>
  <c r="Y6" i="17" s="1"/>
  <c r="X2" i="17" a="1"/>
  <c r="X2" i="17" s="1"/>
  <c r="Y2" i="17" s="1"/>
  <c r="O10" i="17" a="1"/>
  <c r="O10" i="17" s="1"/>
  <c r="O6" i="17" a="1"/>
  <c r="O6" i="17" s="1"/>
  <c r="O2" i="17" a="1"/>
  <c r="O2" i="17" s="1"/>
  <c r="N9" i="17" a="1"/>
  <c r="N9" i="17" s="1"/>
  <c r="N5" i="17" a="1"/>
  <c r="N5" i="17" s="1"/>
  <c r="X9" i="17" a="1"/>
  <c r="X9" i="17" s="1"/>
  <c r="Y9" i="17" s="1"/>
  <c r="Q9" i="17" s="1"/>
  <c r="X5" i="17" a="1"/>
  <c r="X5" i="17" s="1"/>
  <c r="Y5" i="17" s="1"/>
  <c r="O9" i="17" a="1"/>
  <c r="O9" i="17" s="1"/>
  <c r="O5" i="17" a="1"/>
  <c r="O5" i="17" s="1"/>
  <c r="N12" i="17" a="1"/>
  <c r="N12" i="17" s="1"/>
  <c r="N8" i="17" a="1"/>
  <c r="N8" i="17" s="1"/>
  <c r="N4" i="17" a="1"/>
  <c r="N4" i="17" s="1"/>
  <c r="U12" i="17" a="1"/>
  <c r="U12" i="17" s="1"/>
  <c r="U8" i="17" a="1"/>
  <c r="U8" i="17" s="1"/>
  <c r="U4" i="17" a="1"/>
  <c r="U4" i="17" s="1"/>
  <c r="T11" i="17" a="1"/>
  <c r="T11" i="17" s="1"/>
  <c r="T7" i="17" a="1"/>
  <c r="T7" i="17" s="1"/>
  <c r="T3" i="17" a="1"/>
  <c r="T3" i="17" s="1"/>
  <c r="S10" i="17" a="1"/>
  <c r="S10" i="17" s="1"/>
  <c r="S6" i="17" a="1"/>
  <c r="S6" i="17" s="1"/>
  <c r="S2" i="17" a="1"/>
  <c r="S2" i="17" s="1"/>
  <c r="R9" i="17" a="1"/>
  <c r="R9" i="17" s="1"/>
  <c r="R5" i="17" a="1"/>
  <c r="R5" i="17" s="1"/>
  <c r="X4" i="17" a="1"/>
  <c r="X4" i="17" s="1"/>
  <c r="Y4" i="17" s="1"/>
  <c r="O12" i="17" a="1"/>
  <c r="O12" i="17" s="1"/>
  <c r="O8" i="17" a="1"/>
  <c r="O8" i="17" s="1"/>
  <c r="O4" i="17" a="1"/>
  <c r="O4" i="17" s="1"/>
  <c r="N11" i="17" a="1"/>
  <c r="N11" i="17" s="1"/>
  <c r="N7" i="17" a="1"/>
  <c r="N7" i="17" s="1"/>
  <c r="N3" i="17" a="1"/>
  <c r="N3" i="17" s="1"/>
  <c r="V4" i="17" a="1"/>
  <c r="V4" i="17" s="1"/>
  <c r="U11" i="17" a="1"/>
  <c r="U11" i="17" s="1"/>
  <c r="U7" i="17" a="1"/>
  <c r="U7" i="17" s="1"/>
  <c r="U3" i="17" a="1"/>
  <c r="U3" i="17" s="1"/>
  <c r="T10" i="17" a="1"/>
  <c r="T10" i="17" s="1"/>
  <c r="T6" i="17" a="1"/>
  <c r="T6" i="17" s="1"/>
  <c r="T2" i="17" a="1"/>
  <c r="T2" i="17" s="1"/>
  <c r="S9" i="17" a="1"/>
  <c r="S9" i="17" s="1"/>
  <c r="S5" i="17" a="1"/>
  <c r="S5" i="17" s="1"/>
  <c r="R12" i="17" a="1"/>
  <c r="R12" i="17" s="1"/>
  <c r="R8" i="17" a="1"/>
  <c r="R8" i="17" s="1"/>
  <c r="R4" i="17" a="1"/>
  <c r="R4" i="17" s="1"/>
  <c r="X11" i="17" a="1"/>
  <c r="X11" i="17" s="1"/>
  <c r="Y11" i="17" s="1"/>
  <c r="X7" i="17" a="1"/>
  <c r="X7" i="17" s="1"/>
  <c r="Y7" i="17" s="1"/>
  <c r="X3" i="17" a="1"/>
  <c r="X3" i="17" s="1"/>
  <c r="Y3" i="17" s="1"/>
  <c r="O11" i="17" a="1"/>
  <c r="O11" i="17" s="1"/>
  <c r="O7" i="17" a="1"/>
  <c r="O7" i="17" s="1"/>
  <c r="O3" i="17" a="1"/>
  <c r="O3" i="17" s="1"/>
  <c r="N10" i="17" a="1"/>
  <c r="N10" i="17" s="1"/>
  <c r="N6" i="17" a="1"/>
  <c r="N6" i="17" s="1"/>
  <c r="N2" i="17" a="1"/>
  <c r="N2" i="17" s="1"/>
  <c r="U10" i="17" a="1"/>
  <c r="U10" i="17" s="1"/>
  <c r="U6" i="17" a="1"/>
  <c r="U6" i="17" s="1"/>
  <c r="U2" i="17" a="1"/>
  <c r="U2" i="17" s="1"/>
  <c r="T9" i="17" a="1"/>
  <c r="T9" i="17" s="1"/>
  <c r="T5" i="17" a="1"/>
  <c r="T5" i="17" s="1"/>
  <c r="S12" i="17" a="1"/>
  <c r="S12" i="17" s="1"/>
  <c r="S8" i="17" a="1"/>
  <c r="S8" i="17" s="1"/>
  <c r="S4" i="17" a="1"/>
  <c r="S4" i="17" s="1"/>
  <c r="R11" i="17" a="1"/>
  <c r="R11" i="17" s="1"/>
  <c r="R7" i="17" a="1"/>
  <c r="R7" i="17" s="1"/>
  <c r="Q6" i="17" l="1"/>
  <c r="Q4" i="17"/>
  <c r="Q2" i="17"/>
  <c r="Q10" i="17"/>
  <c r="Q8" i="17"/>
  <c r="Q3" i="17"/>
  <c r="Q7" i="17"/>
  <c r="Q11" i="17"/>
  <c r="Q12" i="17"/>
  <c r="Q5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d:\arena\atelier_partie ii.db;StepAPI=;SyncPragma=;NoTXN=;Timeout=;ShortNames=;LongNames=;NoCreat=;NoWCHAR=;FKSupport=;JournalMode=;OEMCP=;LoadExt=;BigInt=;JDConv=;AttachAs=;ILike=" command="select * from FrequencyStatsQuery"/>
  </connection>
  <connection id="2" xr16:uid="{0D0487BA-A295-4B77-80F6-D5BE4F81B0B2}" name="Connection1" type="1" refreshedVersion="8" saveData="1">
    <dbPr connection="Driver={SQLite3 ODBC Driver};Database=d:\arena\atelier_partie ii.db;StepAPI=;SyncPragma=;NoTXN=;Timeout=;ShortNames=;LongNames=;NoCreat=;NoWCHAR=;FKSupport=;JournalMode=;OEMCP=;LoadExt=;BigInt=;JDConv=;AttachAs=;ILike=" command="select * from ProjectQuery"/>
  </connection>
  <connection id="3" xr16:uid="{3D0C4819-CB44-4E78-BCA2-42901CC6F509}" name="Connection2" type="1" refreshedVersion="8" saveData="1">
    <dbPr connection="Driver={SQLite3 ODBC Driver};Database=d:\arena\atelier_partie ii.db;StepAPI=;SyncPragma=;NoTXN=;Timeout=;ShortNames=;LongNames=;NoCreat=;NoWCHAR=;FKSupport=;JournalMode=;OEMCP=;LoadExt=;BigInt=;JDConv=;AttachAs=;ILike=" command="select * from DiscreteTimeStatsQuery"/>
  </connection>
  <connection id="4" xr16:uid="{F47580D8-08D6-4B69-8DE7-1B45C3195479}" name="Connection3" type="1" refreshedVersion="8" saveData="1">
    <dbPr connection="Driver={SQLite3 ODBC Driver};Database=d:\arena\atelier_partie ii.db;StepAPI=;SyncPragma=;NoTXN=;Timeout=;ShortNames=;LongNames=;NoCreat=;NoWCHAR=;FKSupport=;JournalMode=;OEMCP=;LoadExt=;BigInt=;JDConv=;AttachAs=;ILike=" command="select * from ContinuousTimeStatsQuery"/>
  </connection>
  <connection id="5" xr16:uid="{FFC361A3-242A-482C-9819-1F93D48A8A8E}" name="Connection4" type="1" refreshedVersion="8" saveData="1">
    <dbPr connection="Driver={SQLite3 ODBC Driver};Database=d:\arena\atelier_partie ii.db;StepAPI=;SyncPragma=;NoTXN=;Timeout=;ShortNames=;LongNames=;NoCreat=;NoWCHAR=;FKSupport=;JournalMode=;OEMCP=;LoadExt=;BigInt=;JDConv=;AttachAs=;ILike=" command="select * from CounterStatsQuery"/>
  </connection>
  <connection id="6" xr16:uid="{25109672-E607-4045-8EEA-6BAAEEA2B450}" name="Connection5" type="1" refreshedVersion="8" saveData="1">
    <dbPr connection="Driver={SQLite3 ODBC Driver};Database=d:\arena\atelier_partie ii.db;StepAPI=;SyncPragma=;NoTXN=;Timeout=;ShortNames=;LongNames=;NoCreat=;NoWCHAR=;FKSupport=;JournalMode=;OEMCP=;LoadExt=;BigInt=;JDConv=;AttachAs=;ILike=" command="select * from OutputStatsQuery"/>
  </connection>
</connections>
</file>

<file path=xl/sharedStrings.xml><?xml version="1.0" encoding="utf-8"?>
<sst xmlns="http://schemas.openxmlformats.org/spreadsheetml/2006/main" count="434" uniqueCount="114">
  <si>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</si>
  <si>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</si>
  <si>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</si>
  <si>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</si>
  <si>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</si>
  <si>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</si>
  <si>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</si>
  <si>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</si>
  <si>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</si>
  <si>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</si>
  <si>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</si>
  <si>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</si>
  <si>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</si>
  <si>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</si>
  <si>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</si>
  <si>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</si>
  <si>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</si>
  <si>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</si>
  <si>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</si>
  <si>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</si>
  <si>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</si>
  <si>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</si>
  <si>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</si>
  <si>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</si>
  <si>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</si>
  <si>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</si>
  <si>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</si>
  <si>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</si>
  <si>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</si>
  <si>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</si>
  <si>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</si>
  <si>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</si>
  <si>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</si>
  <si>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</si>
  <si>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</si>
  <si>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</si>
  <si>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</si>
  <si>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</si>
  <si>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</si>
  <si>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</si>
  <si>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</si>
  <si>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</si>
  <si>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</si>
  <si>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</si>
  <si>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</si>
  <si>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</si>
  <si>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</si>
  <si>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</si>
  <si>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</si>
  <si>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</si>
  <si>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</si>
  <si>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</si>
  <si>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</si>
  <si>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</si>
  <si>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</si>
  <si>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</si>
  <si>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</si>
  <si>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</si>
  <si>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</si>
  <si>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</si>
  <si>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</si>
  <si>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</si>
  <si>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</si>
  <si>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</si>
  <si>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</si>
  <si>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</si>
  <si>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</si>
  <si>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</si>
  <si>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</si>
  <si>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D:\Arena\Atelier_Partie II.p</t>
  </si>
  <si>
    <t>2026-06-21 16:10:44</t>
  </si>
  <si>
    <t>Duree P1</t>
  </si>
  <si>
    <t>Interval</t>
  </si>
  <si>
    <t>User Specified</t>
  </si>
  <si>
    <t>Duree P2</t>
  </si>
  <si>
    <t>Machine M1.Queue</t>
  </si>
  <si>
    <t>Waiting Time</t>
  </si>
  <si>
    <t>Queue</t>
  </si>
  <si>
    <t>Machine M2.Queue</t>
  </si>
  <si>
    <t>Machine M3.Queue</t>
  </si>
  <si>
    <t>P1</t>
  </si>
  <si>
    <t>NVA Time</t>
  </si>
  <si>
    <t>Entity</t>
  </si>
  <si>
    <t>Other Time</t>
  </si>
  <si>
    <t>Total Time</t>
  </si>
  <si>
    <t>Transfer Time</t>
  </si>
  <si>
    <t>VA Time</t>
  </si>
  <si>
    <t>Wait Time</t>
  </si>
  <si>
    <t>M1</t>
  </si>
  <si>
    <t>Instantaneous Utilization</t>
  </si>
  <si>
    <t>Resource</t>
  </si>
  <si>
    <t>Number Busy</t>
  </si>
  <si>
    <t>Number Scheduled</t>
  </si>
  <si>
    <t>M2</t>
  </si>
  <si>
    <t>M3</t>
  </si>
  <si>
    <t>Number Waiting</t>
  </si>
  <si>
    <t>WIP</t>
  </si>
  <si>
    <t>Nb P1 arrivees</t>
  </si>
  <si>
    <t>Count</t>
  </si>
  <si>
    <t>Nb P2 arrivees</t>
  </si>
  <si>
    <t>M1.NumberSeized</t>
  </si>
  <si>
    <t>Total Number Seized</t>
  </si>
  <si>
    <t>M1.ScheduledUtilization</t>
  </si>
  <si>
    <t>Scheduled Utilization</t>
  </si>
  <si>
    <t>M2.NumberSeized</t>
  </si>
  <si>
    <t>M2.ScheduledUtilization</t>
  </si>
  <si>
    <t>M3.NumberSeized</t>
  </si>
  <si>
    <t>M3.ScheduledUtilization</t>
  </si>
  <si>
    <t>P1.NumberIn</t>
  </si>
  <si>
    <t>Number In</t>
  </si>
  <si>
    <t>P1.NumberOut</t>
  </si>
  <si>
    <t>Number Out</t>
  </si>
  <si>
    <t>System.NumberOut</t>
  </si>
  <si>
    <t>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</si>
</sst>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ussef OUBELLA" refreshedDate="46194.674469444442" createdVersion="7" refreshedVersion="8" minRefreshableVersion="3" recordCount="11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5">
        <s v="Duree P1"/>
        <s v="Duree P2"/>
        <s v="Machine M1.Queue"/>
        <s v="Machine M2.Queue"/>
        <s v="Machine M3.Queue"/>
        <s v="P1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Interval"/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</sharedItems>
    </cacheField>
    <cacheField name="Source" numFmtId="0">
      <sharedItems containsBlank="1" count="5">
        <s v="User Specified"/>
        <s v="Queue"/>
        <s v="Entity"/>
        <m u="1"/>
        <s v="Process" u="1"/>
      </sharedItems>
    </cacheField>
    <cacheField name="Average" numFmtId="0">
      <sharedItems containsSemiMixedTypes="0" containsString="0" containsNumber="1" minValue="0" maxValue="10.449291568873001"/>
    </cacheField>
    <cacheField name="BatchMeansHalfWidth" numFmtId="0">
      <sharedItems containsSemiMixedTypes="0" containsString="0" containsNumber="1" minValue="0" maxValue="0.29522877739651299"/>
    </cacheField>
    <cacheField name="Minimum" numFmtId="0">
      <sharedItems containsSemiMixedTypes="0" containsString="0" containsNumber="1" minValue="0" maxValue="8.9999999999999893"/>
    </cacheField>
    <cacheField name="Maximum" numFmtId="0">
      <sharedItems containsSemiMixedTypes="0" containsString="0" containsNumber="1" minValue="0" maxValue="17.9516003122285"/>
    </cacheField>
    <cacheField name="NumberObservations" numFmtId="0">
      <sharedItems containsSemiMixedTypes="0" containsString="0" containsNumber="1" containsInteger="1" minValue="428" maxValue="1113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10.449291568873001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10.449291568873001"/>
    </cacheField>
    <cacheField name="MaximumAverage" numFmtId="0">
      <sharedItems containsSemiMixedTypes="0" containsString="0" containsNumber="1" minValue="0" maxValue="10.449291568873001"/>
    </cacheField>
    <cacheField name="OverallMinimum" numFmtId="0">
      <sharedItems containsSemiMixedTypes="0" containsString="0" containsNumber="1" minValue="0" maxValue="8.9999999999999893"/>
    </cacheField>
    <cacheField name="OverallMaximum" numFmtId="0">
      <sharedItems containsSemiMixedTypes="0" containsString="0" containsNumber="1" minValue="0" maxValue="17.9516003122285"/>
    </cacheField>
    <cacheField name="AverageNumberObservations" numFmtId="0">
      <sharedItems containsSemiMixedTypes="0" containsString="0" containsNumber="1" containsInteger="1" minValue="428" maxValue="1113"/>
    </cacheField>
    <cacheField name="SummaryHalfWidth" numFmtId="0">
      <sharedItems containsSemiMixedTypes="0" containsString="0" containsNumber="1" minValue="0" maxValue="0.29522877739651299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ussef OUBELLA" refreshedDate="46194.674469560188" createdVersion="7" refreshedVersion="8" minRefreshableVersion="3" recordCount="9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7">
        <s v="M1.NumberSeized"/>
        <s v="M1.ScheduledUtilization"/>
        <s v="M2.NumberSeized"/>
        <s v="M2.ScheduledUtilization"/>
        <s v="M3.NumberSeized"/>
        <s v="M3.ScheduledUtilization"/>
        <s v="P1.NumberIn"/>
        <s v="P1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.34241242052726301" maxValue="111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34241242052726301" maxValue="1113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34241242052726301" maxValue="1113"/>
    </cacheField>
    <cacheField name="Maximum" numFmtId="0">
      <sharedItems containsSemiMixedTypes="0" containsString="0" containsNumber="1" minValue="0.34241242052726301" maxValue="11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ussef OUBELLA" refreshedDate="46194.674469791666" createdVersion="7" refreshedVersion="8" minRefreshableVersion="3" recordCount="2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6">
        <s v="Nb P1 arrivees"/>
        <s v="Nb P2 arrivees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429" maxValue="683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containsInteger="1" minValue="429" maxValue="683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containsInteger="1" minValue="429" maxValue="683"/>
    </cacheField>
    <cacheField name="Maximum" numFmtId="0">
      <sharedItems containsSemiMixedTypes="0" containsString="0" containsNumber="1" containsInteger="1" minValue="429" maxValue="6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ussef OUBELLA" refreshedDate="46194.674469907404" createdVersion="7" refreshedVersion="8" minRefreshableVersion="3" recordCount="13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1">
        <s v="M1"/>
        <s v="M2"/>
        <s v="M3"/>
        <s v="Machine M1.Queue"/>
        <s v="Machine M2.Queue"/>
        <s v="Machine M3.Queue"/>
        <s v="P1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Number Waiting"/>
        <s v="WIP"/>
        <m u="1"/>
        <s v="Levels" u="1"/>
      </sharedItems>
    </cacheField>
    <cacheField name="Source" numFmtId="0">
      <sharedItems containsBlank="1" count="5">
        <s v="Resource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" maxValue="2.1394682430407199"/>
    </cacheField>
    <cacheField name="BatchMeansHalfWidth" numFmtId="0">
      <sharedItems containsSemiMixedTypes="0" containsString="0" containsNumber="1" minValue="8.1086015706751807E-3" maxValue="2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0" maxValue="4"/>
    </cacheField>
    <cacheField name="LastRecordedValue" numFmtId="0">
      <sharedItems containsSemiMixedTypes="0" containsString="0" containsNumber="1" containsInteger="1" minValue="0" maxValue="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2.1394682430407199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2.1394682430407199"/>
    </cacheField>
    <cacheField name="MaximumAverage" numFmtId="0">
      <sharedItems containsSemiMixedTypes="0" containsString="0" containsNumber="1" minValue="0" maxValue="2.1394682430407199"/>
    </cacheField>
    <cacheField name="SummaryHalfWidth" numFmtId="0">
      <sharedItems containsSemiMixedTypes="0" containsString="0" containsNumber="1" minValue="8.1086015706751807E-3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ussef OUBELLA" refreshedDate="46194.674470138889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s v="2026-06-21 16:10:44"/>
    <n v="1"/>
    <x v="0"/>
    <x v="0"/>
    <x v="0"/>
    <n v="10.449291568873001"/>
    <n v="0.29522877739651299"/>
    <n v="8.9999999999999893"/>
    <n v="17.9516003122285"/>
    <n v="683"/>
    <s v="Unnamed ProjectDuree P1IntervalUser Specified"/>
    <n v="1"/>
    <n v="10.449291568873001"/>
    <n v="0"/>
    <n v="0.95"/>
    <n v="4E+20"/>
    <n v="10.449291568873001"/>
    <n v="10.449291568873001"/>
    <n v="8.9999999999999893"/>
    <n v="17.9516003122285"/>
    <n v="683"/>
    <n v="0.29522877739651299"/>
    <n v="1"/>
    <n v="1"/>
  </r>
  <r>
    <x v="0"/>
    <s v="2026-06-21 16:10:44"/>
    <n v="1"/>
    <x v="1"/>
    <x v="0"/>
    <x v="0"/>
    <n v="8.3052050116980194"/>
    <n v="7.5778809760464902E-2"/>
    <n v="8"/>
    <n v="11.4695062088144"/>
    <n v="428"/>
    <s v="Unnamed ProjectDuree P2IntervalUser Specified"/>
    <n v="1"/>
    <n v="8.3052050116980194"/>
    <n v="0"/>
    <n v="0.95"/>
    <n v="4E+20"/>
    <n v="8.3052050116980194"/>
    <n v="8.3052050116980194"/>
    <n v="8"/>
    <n v="11.4695062088144"/>
    <n v="428"/>
    <n v="7.5778809760464902E-2"/>
    <n v="1"/>
    <n v="1"/>
  </r>
  <r>
    <x v="0"/>
    <s v="2026-06-21 16:10:44"/>
    <n v="1"/>
    <x v="2"/>
    <x v="1"/>
    <x v="1"/>
    <n v="0.32918931016915198"/>
    <n v="6.7919991792421502E-2"/>
    <n v="0"/>
    <n v="3.4695062088144399"/>
    <n v="1113"/>
    <s v="Unnamed ProjectMachine M1.QueueWaiting TimeQueue"/>
    <n v="1"/>
    <n v="0.32918931016915198"/>
    <n v="0"/>
    <n v="0.95"/>
    <n v="4E+20"/>
    <n v="0.32918931016915198"/>
    <n v="0.32918931016915198"/>
    <n v="0"/>
    <n v="3.4695062088144399"/>
    <n v="1113"/>
    <n v="6.7919991792421502E-2"/>
    <n v="1"/>
    <n v="1"/>
  </r>
  <r>
    <x v="0"/>
    <s v="2026-06-21 16:10:44"/>
    <n v="1"/>
    <x v="3"/>
    <x v="1"/>
    <x v="1"/>
    <n v="1.1066314900625001"/>
    <n v="0.27758609018687203"/>
    <n v="0"/>
    <n v="8.1567470519244107"/>
    <n v="683"/>
    <s v="Unnamed ProjectMachine M2.QueueWaiting TimeQueue"/>
    <n v="1"/>
    <n v="1.1066314900625001"/>
    <n v="0"/>
    <n v="0.95"/>
    <n v="4E+20"/>
    <n v="1.1066314900625001"/>
    <n v="1.1066314900625001"/>
    <n v="0"/>
    <n v="8.1567470519244107"/>
    <n v="683"/>
    <n v="0.27758609018687203"/>
    <n v="1"/>
    <n v="1"/>
  </r>
  <r>
    <x v="0"/>
    <s v="2026-06-21 16:10:44"/>
    <n v="1"/>
    <x v="4"/>
    <x v="1"/>
    <x v="1"/>
    <n v="0"/>
    <n v="0"/>
    <n v="0"/>
    <n v="0"/>
    <n v="429"/>
    <s v="Unnamed ProjectMachine M3.QueueWaiting TimeQueue"/>
    <n v="1"/>
    <n v="0"/>
    <n v="0"/>
    <n v="0.95"/>
    <n v="4E+20"/>
    <n v="0"/>
    <n v="0"/>
    <n v="0"/>
    <n v="0"/>
    <n v="429"/>
    <n v="0"/>
    <n v="1"/>
    <n v="1"/>
  </r>
  <r>
    <x v="0"/>
    <s v="2026-06-21 16:10:44"/>
    <n v="1"/>
    <x v="5"/>
    <x v="2"/>
    <x v="2"/>
    <n v="0"/>
    <n v="0"/>
    <n v="0"/>
    <n v="0"/>
    <n v="1111"/>
    <s v="Unnamed ProjectP1NVA TimeEntity"/>
    <n v="1"/>
    <n v="0"/>
    <n v="0"/>
    <n v="0.95"/>
    <n v="4E+20"/>
    <n v="0"/>
    <n v="0"/>
    <n v="0"/>
    <n v="0"/>
    <n v="1111"/>
    <n v="0"/>
    <n v="1"/>
    <n v="1"/>
  </r>
  <r>
    <x v="0"/>
    <s v="2026-06-21 16:10:44"/>
    <n v="1"/>
    <x v="5"/>
    <x v="3"/>
    <x v="2"/>
    <n v="0"/>
    <n v="0"/>
    <n v="0"/>
    <n v="0"/>
    <n v="1111"/>
    <s v="Unnamed ProjectP1Other TimeEntity"/>
    <n v="1"/>
    <n v="0"/>
    <n v="0"/>
    <n v="0.95"/>
    <n v="4E+20"/>
    <n v="0"/>
    <n v="0"/>
    <n v="0"/>
    <n v="0"/>
    <n v="1111"/>
    <n v="0"/>
    <n v="1"/>
    <n v="1"/>
  </r>
  <r>
    <x v="0"/>
    <s v="2026-06-21 16:10:44"/>
    <n v="1"/>
    <x v="5"/>
    <x v="4"/>
    <x v="2"/>
    <n v="9.6233068285751404"/>
    <n v="0.200604231760941"/>
    <n v="8"/>
    <n v="17.9516003122285"/>
    <n v="1111"/>
    <s v="Unnamed ProjectP1Total TimeEntity"/>
    <n v="1"/>
    <n v="9.6233068285751404"/>
    <n v="0"/>
    <n v="0.95"/>
    <n v="4E+20"/>
    <n v="9.6233068285751404"/>
    <n v="9.6233068285751404"/>
    <n v="8"/>
    <n v="17.9516003122285"/>
    <n v="1111"/>
    <n v="0.200604231760941"/>
    <n v="1"/>
    <n v="1"/>
  </r>
  <r>
    <x v="0"/>
    <s v="2026-06-21 16:10:44"/>
    <n v="1"/>
    <x v="5"/>
    <x v="5"/>
    <x v="2"/>
    <n v="0"/>
    <n v="0"/>
    <n v="0"/>
    <n v="0"/>
    <n v="1111"/>
    <s v="Unnamed ProjectP1Transfer TimeEntity"/>
    <n v="1"/>
    <n v="0"/>
    <n v="0"/>
    <n v="0.95"/>
    <n v="4E+20"/>
    <n v="0"/>
    <n v="0"/>
    <n v="0"/>
    <n v="0"/>
    <n v="1111"/>
    <n v="0"/>
    <n v="1"/>
    <n v="1"/>
  </r>
  <r>
    <x v="0"/>
    <s v="2026-06-21 16:10:44"/>
    <n v="1"/>
    <x v="5"/>
    <x v="6"/>
    <x v="2"/>
    <n v="8.6147614761476099"/>
    <n v="2.4031672992494299E-2"/>
    <n v="7.9999999999995497"/>
    <n v="9.0000000000000302"/>
    <n v="1111"/>
    <s v="Unnamed ProjectP1VA TimeEntity"/>
    <n v="1"/>
    <n v="8.6147614761476099"/>
    <n v="0"/>
    <n v="0.95"/>
    <n v="4E+20"/>
    <n v="8.6147614761476099"/>
    <n v="8.6147614761476099"/>
    <n v="7.9999999999995497"/>
    <n v="9.0000000000000302"/>
    <n v="1111"/>
    <n v="2.4031672992494299E-2"/>
    <n v="1"/>
    <n v="1"/>
  </r>
  <r>
    <x v="0"/>
    <s v="2026-06-21 16:10:44"/>
    <n v="1"/>
    <x v="5"/>
    <x v="7"/>
    <x v="2"/>
    <n v="1.0085453524275301"/>
    <n v="0.18853051164142401"/>
    <n v="0"/>
    <n v="8.9516003122284893"/>
    <n v="1111"/>
    <s v="Unnamed ProjectP1Wait TimeEntity"/>
    <n v="1"/>
    <n v="1.0085453524275301"/>
    <n v="0"/>
    <n v="0.95"/>
    <n v="4E+20"/>
    <n v="1.0085453524275301"/>
    <n v="1.0085453524275301"/>
    <n v="0"/>
    <n v="8.9516003122284893"/>
    <n v="1111"/>
    <n v="0.18853051164142401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s v="2026-06-21 16:10:44"/>
    <n v="1"/>
    <x v="0"/>
    <x v="0"/>
    <x v="0"/>
    <n v="1113"/>
    <n v="0"/>
    <s v="Unnamed ProjectM1.NumberSeizedTotal Number SeizedResource"/>
    <n v="1"/>
    <n v="1113"/>
    <n v="0"/>
    <n v="0.95"/>
    <n v="4E+20"/>
    <n v="1113"/>
    <n v="1113"/>
  </r>
  <r>
    <x v="0"/>
    <s v="2026-06-21 16:10:44"/>
    <n v="1"/>
    <x v="1"/>
    <x v="1"/>
    <x v="0"/>
    <n v="0.88961242052726197"/>
    <n v="0"/>
    <s v="Unnamed ProjectM1.ScheduledUtilizationScheduled UtilizationResource"/>
    <n v="1"/>
    <n v="0.88961242052726197"/>
    <n v="0"/>
    <n v="0.95"/>
    <n v="4E+20"/>
    <n v="0.88961242052726197"/>
    <n v="0.88961242052726197"/>
  </r>
  <r>
    <x v="0"/>
    <s v="2026-06-21 16:10:44"/>
    <n v="1"/>
    <x v="2"/>
    <x v="0"/>
    <x v="0"/>
    <n v="683"/>
    <n v="0"/>
    <s v="Unnamed ProjectM2.NumberSeizedTotal Number SeizedResource"/>
    <n v="1"/>
    <n v="683"/>
    <n v="0"/>
    <n v="0.95"/>
    <n v="4E+20"/>
    <n v="683"/>
    <n v="683"/>
  </r>
  <r>
    <x v="0"/>
    <s v="2026-06-21 16:10:44"/>
    <n v="1"/>
    <x v="3"/>
    <x v="1"/>
    <x v="0"/>
    <n v="0.68300000000000005"/>
    <n v="0"/>
    <s v="Unnamed ProjectM2.ScheduledUtilizationScheduled UtilizationResource"/>
    <n v="1"/>
    <n v="0.68300000000000005"/>
    <n v="0"/>
    <n v="0.95"/>
    <n v="4E+20"/>
    <n v="0.68300000000000005"/>
    <n v="0.68300000000000005"/>
  </r>
  <r>
    <x v="0"/>
    <s v="2026-06-21 16:10:44"/>
    <n v="1"/>
    <x v="4"/>
    <x v="0"/>
    <x v="0"/>
    <n v="429"/>
    <n v="0"/>
    <s v="Unnamed ProjectM3.NumberSeizedTotal Number SeizedResource"/>
    <n v="1"/>
    <n v="429"/>
    <n v="0"/>
    <n v="0.95"/>
    <n v="4E+20"/>
    <n v="429"/>
    <n v="429"/>
  </r>
  <r>
    <x v="0"/>
    <s v="2026-06-21 16:10:44"/>
    <n v="1"/>
    <x v="5"/>
    <x v="1"/>
    <x v="0"/>
    <n v="0.34241242052726301"/>
    <n v="0"/>
    <s v="Unnamed ProjectM3.ScheduledUtilizationScheduled UtilizationResource"/>
    <n v="1"/>
    <n v="0.34241242052726301"/>
    <n v="0"/>
    <n v="0.95"/>
    <n v="4E+20"/>
    <n v="0.34241242052726301"/>
    <n v="0.34241242052726301"/>
  </r>
  <r>
    <x v="0"/>
    <s v="2026-06-21 16:10:44"/>
    <n v="1"/>
    <x v="6"/>
    <x v="2"/>
    <x v="1"/>
    <n v="1113"/>
    <n v="0"/>
    <s v="Unnamed ProjectP1.NumberInNumber InEntity"/>
    <n v="1"/>
    <n v="1113"/>
    <n v="0"/>
    <n v="0.95"/>
    <n v="4E+20"/>
    <n v="1113"/>
    <n v="1113"/>
  </r>
  <r>
    <x v="0"/>
    <s v="2026-06-21 16:10:44"/>
    <n v="1"/>
    <x v="7"/>
    <x v="3"/>
    <x v="1"/>
    <n v="1111"/>
    <n v="0"/>
    <s v="Unnamed ProjectP1.NumberOutNumber OutEntity"/>
    <n v="1"/>
    <n v="1111"/>
    <n v="0"/>
    <n v="0.95"/>
    <n v="4E+20"/>
    <n v="1111"/>
    <n v="1111"/>
  </r>
  <r>
    <x v="0"/>
    <s v="2026-06-21 16:10:44"/>
    <n v="1"/>
    <x v="8"/>
    <x v="3"/>
    <x v="2"/>
    <n v="1111"/>
    <n v="0"/>
    <s v="Unnamed ProjectSystem.NumberOutNumber OutSystem"/>
    <n v="1"/>
    <n v="1111"/>
    <n v="0"/>
    <n v="0.95"/>
    <n v="4E+20"/>
    <n v="1111"/>
    <n v="111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s v="2026-06-21 16:10:44"/>
    <n v="1"/>
    <x v="0"/>
    <x v="0"/>
    <x v="0"/>
    <n v="683"/>
    <s v="Unnamed ProjectNb P1 arriveesCountUser Specified"/>
    <n v="1"/>
    <n v="683"/>
    <n v="0"/>
    <n v="0.95"/>
    <n v="4E+20"/>
    <n v="683"/>
    <n v="683"/>
  </r>
  <r>
    <x v="0"/>
    <s v="2026-06-21 16:10:44"/>
    <n v="1"/>
    <x v="1"/>
    <x v="0"/>
    <x v="0"/>
    <n v="429"/>
    <s v="Unnamed ProjectNb P2 arriveesCountUser Specified"/>
    <n v="1"/>
    <n v="429"/>
    <n v="0"/>
    <n v="0.95"/>
    <n v="4E+20"/>
    <n v="429"/>
    <n v="429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s v="2026-06-21 16:10:44"/>
    <n v="1"/>
    <x v="0"/>
    <x v="0"/>
    <x v="0"/>
    <n v="0.88961242052726197"/>
    <n v="8.1086015706751807E-3"/>
    <n v="0"/>
    <n v="1"/>
    <n v="1"/>
    <n v="0"/>
    <s v="Unnamed ProjectM1Instantaneous UtilizationResource"/>
    <n v="1"/>
    <n v="0.88961242052726197"/>
    <n v="0"/>
    <n v="0.95"/>
    <n v="4E+20"/>
    <n v="0.88961242052726197"/>
    <n v="0.88961242052726197"/>
    <n v="8.1086015706751807E-3"/>
  </r>
  <r>
    <x v="0"/>
    <s v="2026-06-21 16:10:44"/>
    <n v="1"/>
    <x v="0"/>
    <x v="1"/>
    <x v="0"/>
    <n v="0.88961242052726197"/>
    <n v="8.1086015706751807E-3"/>
    <n v="0"/>
    <n v="1"/>
    <n v="1"/>
    <n v="0"/>
    <s v="Unnamed ProjectM1Number BusyResource"/>
    <n v="1"/>
    <n v="0.88961242052726197"/>
    <n v="0"/>
    <n v="0.95"/>
    <n v="4E+20"/>
    <n v="0.88961242052726197"/>
    <n v="0.88961242052726197"/>
    <n v="8.1086015706751807E-3"/>
  </r>
  <r>
    <x v="0"/>
    <s v="2026-06-21 16:10:44"/>
    <n v="1"/>
    <x v="0"/>
    <x v="2"/>
    <x v="0"/>
    <n v="1"/>
    <n v="2E+20"/>
    <n v="1"/>
    <n v="1"/>
    <n v="1"/>
    <n v="0"/>
    <s v="Unnamed ProjectM1Number ScheduledResource"/>
    <n v="1"/>
    <n v="1"/>
    <n v="0"/>
    <n v="0.95"/>
    <n v="4E+20"/>
    <n v="1"/>
    <n v="1"/>
    <n v="2E+20"/>
  </r>
  <r>
    <x v="0"/>
    <s v="2026-06-21 16:10:44"/>
    <n v="1"/>
    <x v="1"/>
    <x v="0"/>
    <x v="0"/>
    <n v="0.68300000000000005"/>
    <n v="3.2734842760330798E-2"/>
    <n v="0"/>
    <n v="1"/>
    <n v="0"/>
    <n v="0"/>
    <s v="Unnamed ProjectM2Instantaneous UtilizationResource"/>
    <n v="1"/>
    <n v="0.68300000000000005"/>
    <n v="0"/>
    <n v="0.95"/>
    <n v="4E+20"/>
    <n v="0.68300000000000005"/>
    <n v="0.68300000000000005"/>
    <n v="3.2734842760330798E-2"/>
  </r>
  <r>
    <x v="0"/>
    <s v="2026-06-21 16:10:44"/>
    <n v="1"/>
    <x v="1"/>
    <x v="1"/>
    <x v="0"/>
    <n v="0.68300000000000005"/>
    <n v="3.2734842760330798E-2"/>
    <n v="0"/>
    <n v="1"/>
    <n v="0"/>
    <n v="0"/>
    <s v="Unnamed ProjectM2Number BusyResource"/>
    <n v="1"/>
    <n v="0.68300000000000005"/>
    <n v="0"/>
    <n v="0.95"/>
    <n v="4E+20"/>
    <n v="0.68300000000000005"/>
    <n v="0.68300000000000005"/>
    <n v="3.2734842760330798E-2"/>
  </r>
  <r>
    <x v="0"/>
    <s v="2026-06-21 16:10:44"/>
    <n v="1"/>
    <x v="1"/>
    <x v="2"/>
    <x v="0"/>
    <n v="1"/>
    <n v="2E+20"/>
    <n v="1"/>
    <n v="1"/>
    <n v="1"/>
    <n v="0"/>
    <s v="Unnamed ProjectM2Number ScheduledResource"/>
    <n v="1"/>
    <n v="1"/>
    <n v="0"/>
    <n v="0.95"/>
    <n v="4E+20"/>
    <n v="1"/>
    <n v="1"/>
    <n v="2E+20"/>
  </r>
  <r>
    <x v="0"/>
    <s v="2026-06-21 16:10:44"/>
    <n v="1"/>
    <x v="2"/>
    <x v="0"/>
    <x v="0"/>
    <n v="0.34241242052726301"/>
    <n v="2.46181039115516E-2"/>
    <n v="0"/>
    <n v="1"/>
    <n v="1"/>
    <n v="0"/>
    <s v="Unnamed ProjectM3Instantaneous UtilizationResource"/>
    <n v="1"/>
    <n v="0.34241242052726301"/>
    <n v="0"/>
    <n v="0.95"/>
    <n v="4E+20"/>
    <n v="0.34241242052726301"/>
    <n v="0.34241242052726301"/>
    <n v="2.46181039115516E-2"/>
  </r>
  <r>
    <x v="0"/>
    <s v="2026-06-21 16:10:44"/>
    <n v="1"/>
    <x v="2"/>
    <x v="1"/>
    <x v="0"/>
    <n v="0.34241242052726301"/>
    <n v="2.46181039115516E-2"/>
    <n v="0"/>
    <n v="1"/>
    <n v="1"/>
    <n v="0"/>
    <s v="Unnamed ProjectM3Number BusyResource"/>
    <n v="1"/>
    <n v="0.34241242052726301"/>
    <n v="0"/>
    <n v="0.95"/>
    <n v="4E+20"/>
    <n v="0.34241242052726301"/>
    <n v="0.34241242052726301"/>
    <n v="2.46181039115516E-2"/>
  </r>
  <r>
    <x v="0"/>
    <s v="2026-06-21 16:10:44"/>
    <n v="1"/>
    <x v="2"/>
    <x v="2"/>
    <x v="0"/>
    <n v="1"/>
    <n v="2E+20"/>
    <n v="1"/>
    <n v="1"/>
    <n v="1"/>
    <n v="0"/>
    <s v="Unnamed ProjectM3Number ScheduledResource"/>
    <n v="1"/>
    <n v="1"/>
    <n v="0"/>
    <n v="0.95"/>
    <n v="4E+20"/>
    <n v="1"/>
    <n v="1"/>
    <n v="2E+20"/>
  </r>
  <r>
    <x v="0"/>
    <s v="2026-06-21 16:10:44"/>
    <n v="1"/>
    <x v="3"/>
    <x v="3"/>
    <x v="1"/>
    <n v="7.3277540443653297E-2"/>
    <n v="1.35443616779402E-2"/>
    <n v="0"/>
    <n v="1"/>
    <n v="0"/>
    <n v="0"/>
    <s v="Unnamed ProjectMachine M1.QueueNumber WaitingQueue"/>
    <n v="1"/>
    <n v="7.3277540443653297E-2"/>
    <n v="0"/>
    <n v="0.95"/>
    <n v="4E+20"/>
    <n v="7.3277540443653297E-2"/>
    <n v="7.3277540443653297E-2"/>
    <n v="1.35443616779402E-2"/>
  </r>
  <r>
    <x v="0"/>
    <s v="2026-06-21 16:10:44"/>
    <n v="1"/>
    <x v="4"/>
    <x v="3"/>
    <x v="1"/>
    <n v="0.151165861542538"/>
    <n v="4.0837304441993898E-2"/>
    <n v="0"/>
    <n v="2"/>
    <n v="0"/>
    <n v="0"/>
    <s v="Unnamed ProjectMachine M2.QueueNumber WaitingQueue"/>
    <n v="1"/>
    <n v="0.151165861542538"/>
    <n v="0"/>
    <n v="0.95"/>
    <n v="4E+20"/>
    <n v="0.151165861542538"/>
    <n v="0.151165861542538"/>
    <n v="4.0837304441993898E-2"/>
  </r>
  <r>
    <x v="0"/>
    <s v="2026-06-21 16:10:44"/>
    <n v="1"/>
    <x v="5"/>
    <x v="3"/>
    <x v="1"/>
    <n v="0"/>
    <n v="2E+20"/>
    <n v="0"/>
    <n v="0"/>
    <n v="0"/>
    <n v="0"/>
    <s v="Unnamed ProjectMachine M3.QueueNumber WaitingQueue"/>
    <n v="1"/>
    <n v="0"/>
    <n v="0"/>
    <n v="0.95"/>
    <n v="4E+20"/>
    <n v="0"/>
    <n v="0"/>
    <n v="2E+20"/>
  </r>
  <r>
    <x v="0"/>
    <s v="2026-06-21 16:10:44"/>
    <n v="1"/>
    <x v="6"/>
    <x v="4"/>
    <x v="2"/>
    <n v="2.1394682430407199"/>
    <n v="6.1825787628699197E-2"/>
    <n v="0"/>
    <n v="4"/>
    <n v="2"/>
    <n v="0"/>
    <s v="Unnamed ProjectP1WIPEntity"/>
    <n v="1"/>
    <n v="2.1394682430407199"/>
    <n v="0"/>
    <n v="0.95"/>
    <n v="4E+20"/>
    <n v="2.1394682430407199"/>
    <n v="2.1394682430407199"/>
    <n v="6.1825787628699197E-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22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3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5">
        <item m="1" x="16"/>
        <item m="1" x="39"/>
        <item m="1" x="11"/>
        <item m="1" x="91"/>
        <item m="1" x="74"/>
        <item m="1" x="44"/>
        <item m="1" x="100"/>
        <item m="1" x="32"/>
        <item m="1" x="36"/>
        <item m="1" x="103"/>
        <item m="1" x="69"/>
        <item m="1" x="81"/>
        <item m="1" x="86"/>
        <item m="1" x="10"/>
        <item m="1" x="38"/>
        <item m="1" x="28"/>
        <item m="1" x="104"/>
        <item m="1" x="98"/>
        <item m="1" x="26"/>
        <item m="1" x="20"/>
        <item m="1" x="92"/>
        <item m="1" x="12"/>
        <item m="1" x="45"/>
        <item m="1" x="31"/>
        <item m="1" x="56"/>
        <item m="1" x="83"/>
        <item m="1" x="47"/>
        <item m="1" x="17"/>
        <item m="1" x="41"/>
        <item m="1" x="70"/>
        <item m="1" x="60"/>
        <item m="1" x="18"/>
        <item m="1" x="77"/>
        <item m="1" x="9"/>
        <item m="1" x="97"/>
        <item m="1" x="65"/>
        <item m="1" x="85"/>
        <item m="1" x="40"/>
        <item m="1" x="99"/>
        <item m="1" x="68"/>
        <item m="1" x="22"/>
        <item m="1" x="59"/>
        <item m="1" x="73"/>
        <item m="1" x="84"/>
        <item m="1" x="90"/>
        <item m="1" x="8"/>
        <item m="1" x="21"/>
        <item m="1" x="30"/>
        <item m="1" x="23"/>
        <item m="1" x="7"/>
        <item m="1" x="82"/>
        <item m="1" x="94"/>
        <item m="1" x="34"/>
        <item m="1" x="64"/>
        <item m="1" x="25"/>
        <item m="1" x="42"/>
        <item m="1" x="29"/>
        <item m="1" x="50"/>
        <item m="1" x="37"/>
        <item m="1" x="57"/>
        <item m="1" x="43"/>
        <item m="1" x="66"/>
        <item m="1" x="51"/>
        <item m="1" x="71"/>
        <item m="1" x="58"/>
        <item m="1" x="79"/>
        <item m="1" x="72"/>
        <item m="1" x="87"/>
        <item m="1" x="95"/>
        <item m="1" x="75"/>
        <item m="1" x="54"/>
        <item m="1" x="35"/>
        <item m="1" x="48"/>
        <item m="1" x="19"/>
        <item m="1" x="24"/>
        <item m="1" x="33"/>
        <item m="1" x="61"/>
        <item m="1" x="96"/>
        <item m="1" x="89"/>
        <item m="1" x="76"/>
        <item m="1" x="49"/>
        <item m="1" x="62"/>
        <item m="1" x="53"/>
        <item m="1" x="78"/>
        <item m="1" x="63"/>
        <item m="1" x="46"/>
        <item m="1" x="52"/>
        <item m="1" x="15"/>
        <item m="1" x="55"/>
        <item m="1" x="67"/>
        <item m="1" x="80"/>
        <item m="1" x="88"/>
        <item m="1" x="93"/>
        <item m="1" x="102"/>
        <item m="1" x="13"/>
        <item m="1" x="27"/>
        <item m="1" x="101"/>
        <item m="1" x="14"/>
        <item m="1" x="6"/>
        <item x="0"/>
        <item x="1"/>
        <item x="2"/>
        <item x="3"/>
        <item x="4"/>
        <item x="5"/>
      </items>
    </pivotField>
    <pivotField axis="axisRow" compact="0" outline="0" showAll="0" defaultSubtotal="0">
      <items count="12">
        <item x="0"/>
        <item x="2"/>
        <item x="3"/>
        <item x="4"/>
        <item x="5"/>
        <item x="6"/>
        <item x="7"/>
        <item x="1"/>
        <item m="1" x="9"/>
        <item m="1" x="10"/>
        <item m="1" x="11"/>
        <item m="1" x="8"/>
      </items>
    </pivotField>
    <pivotField axis="axisRow" compact="0" outline="0" showAll="0" defaultSubtotal="0">
      <items count="5">
        <item x="2"/>
        <item x="1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1">
    <i>
      <x v="3"/>
      <x v="99"/>
      <x/>
      <x v="2"/>
    </i>
    <i r="1">
      <x v="100"/>
      <x/>
      <x v="2"/>
    </i>
    <i r="1">
      <x v="101"/>
      <x v="7"/>
      <x v="1"/>
    </i>
    <i r="1">
      <x v="102"/>
      <x v="7"/>
      <x v="1"/>
    </i>
    <i r="1">
      <x v="103"/>
      <x v="7"/>
      <x v="1"/>
    </i>
    <i r="1">
      <x v="104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23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1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7">
        <item m="1" x="34"/>
        <item m="1" x="10"/>
        <item m="1" x="35"/>
        <item m="1" x="11"/>
        <item m="1" x="36"/>
        <item m="1" x="12"/>
        <item m="1" x="37"/>
        <item m="1" x="13"/>
        <item m="1" x="69"/>
        <item m="1" x="24"/>
        <item x="8"/>
        <item m="1" x="68"/>
        <item m="1" x="55"/>
        <item m="1" x="72"/>
        <item m="1" x="57"/>
        <item m="1" x="73"/>
        <item m="1" x="80"/>
        <item m="1" x="49"/>
        <item m="1" x="17"/>
        <item m="1" x="66"/>
        <item m="1" x="56"/>
        <item m="1" x="54"/>
        <item m="1" x="20"/>
        <item m="1" x="64"/>
        <item m="1" x="29"/>
        <item m="1" x="65"/>
        <item m="1" x="30"/>
        <item m="1" x="63"/>
        <item m="1" x="83"/>
        <item m="1" x="23"/>
        <item m="1" x="86"/>
        <item m="1" x="51"/>
        <item m="1" x="18"/>
        <item m="1" x="81"/>
        <item m="1" x="76"/>
        <item m="1" x="52"/>
        <item m="1" x="19"/>
        <item m="1" x="82"/>
        <item m="1" x="77"/>
        <item m="1" x="14"/>
        <item m="1" x="48"/>
        <item m="1" x="32"/>
        <item m="1" x="22"/>
        <item m="1" x="74"/>
        <item m="1" x="44"/>
        <item m="1" x="75"/>
        <item m="1" x="45"/>
        <item m="1" x="31"/>
        <item m="1" x="26"/>
        <item m="1" x="53"/>
        <item m="1" x="28"/>
        <item m="1" x="85"/>
        <item m="1" x="78"/>
        <item m="1" x="27"/>
        <item m="1" x="25"/>
        <item m="1" x="70"/>
        <item m="1" x="79"/>
        <item m="1" x="15"/>
        <item m="1" x="33"/>
        <item m="1" x="46"/>
        <item m="1" x="67"/>
        <item m="1" x="84"/>
        <item m="1" x="16"/>
        <item m="1" x="43"/>
        <item m="1" x="47"/>
        <item m="1" x="71"/>
        <item m="1" x="50"/>
        <item m="1" x="21"/>
        <item m="1" x="38"/>
        <item m="1" x="58"/>
        <item m="1" x="39"/>
        <item m="1" x="59"/>
        <item m="1" x="40"/>
        <item m="1" x="60"/>
        <item m="1" x="41"/>
        <item m="1" x="61"/>
        <item m="1" x="42"/>
        <item m="1" x="62"/>
        <item m="1" x="9"/>
        <item x="0"/>
        <item x="1"/>
        <item x="2"/>
        <item x="3"/>
        <item x="4"/>
        <item x="5"/>
        <item x="6"/>
        <item x="7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9">
    <i>
      <x v="3"/>
      <x v="10"/>
      <x v="1"/>
      <x v="2"/>
    </i>
    <i r="1">
      <x v="79"/>
      <x v="3"/>
      <x v="1"/>
    </i>
    <i r="1">
      <x v="80"/>
      <x v="2"/>
      <x v="1"/>
    </i>
    <i r="1">
      <x v="81"/>
      <x v="3"/>
      <x v="1"/>
    </i>
    <i r="1">
      <x v="82"/>
      <x v="2"/>
      <x v="1"/>
    </i>
    <i r="1">
      <x v="83"/>
      <x v="3"/>
      <x v="1"/>
    </i>
    <i r="1">
      <x v="84"/>
      <x v="2"/>
      <x v="1"/>
    </i>
    <i r="1">
      <x v="85"/>
      <x/>
      <x/>
    </i>
    <i r="1">
      <x v="86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24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4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5"/>
        <item m="1" x="4"/>
        <item m="1" x="3"/>
        <item m="1" x="2"/>
        <item x="0"/>
        <item x="1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4"/>
      <x/>
      <x/>
    </i>
    <i r="1">
      <x v="5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24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5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1">
        <item m="1" x="22"/>
        <item m="1" x="13"/>
        <item m="1" x="29"/>
        <item m="1" x="38"/>
        <item m="1" x="51"/>
        <item m="1" x="50"/>
        <item m="1" x="14"/>
        <item m="1" x="115"/>
        <item m="1" x="93"/>
        <item m="1" x="56"/>
        <item m="1" x="43"/>
        <item m="1" x="47"/>
        <item m="1" x="129"/>
        <item m="1" x="32"/>
        <item m="1" x="114"/>
        <item m="1" x="36"/>
        <item m="1" x="87"/>
        <item m="1" x="101"/>
        <item m="1" x="11"/>
        <item m="1" x="37"/>
        <item m="1" x="124"/>
        <item m="1" x="26"/>
        <item m="1" x="116"/>
        <item m="1" x="15"/>
        <item m="1" x="42"/>
        <item m="1" x="68"/>
        <item m="1" x="12"/>
        <item m="1" x="18"/>
        <item m="1" x="88"/>
        <item m="1" x="69"/>
        <item m="1" x="103"/>
        <item m="1" x="59"/>
        <item m="1" x="23"/>
        <item m="1" x="53"/>
        <item m="1" x="89"/>
        <item m="1" x="74"/>
        <item m="1" x="24"/>
        <item m="1" x="34"/>
        <item m="1" x="96"/>
        <item m="1" x="10"/>
        <item m="1" x="123"/>
        <item m="1" x="81"/>
        <item m="1" x="21"/>
        <item m="1" x="106"/>
        <item m="1" x="52"/>
        <item m="1" x="125"/>
        <item m="1" x="86"/>
        <item m="1" x="28"/>
        <item m="1" x="73"/>
        <item m="1" x="92"/>
        <item m="1" x="105"/>
        <item m="1" x="113"/>
        <item m="1" x="122"/>
        <item m="1" x="9"/>
        <item m="1" x="27"/>
        <item m="1" x="41"/>
        <item m="1" x="30"/>
        <item m="1" x="8"/>
        <item m="1" x="102"/>
        <item m="1" x="119"/>
        <item m="1" x="45"/>
        <item m="1" x="80"/>
        <item m="1" x="33"/>
        <item m="1" x="54"/>
        <item m="1" x="39"/>
        <item m="1" x="63"/>
        <item m="1" x="48"/>
        <item m="1" x="70"/>
        <item m="1" x="55"/>
        <item m="1" x="82"/>
        <item m="1" x="64"/>
        <item m="1" x="90"/>
        <item m="1" x="71"/>
        <item m="1" x="99"/>
        <item m="1" x="83"/>
        <item m="1" x="104"/>
        <item m="1" x="91"/>
        <item m="1" x="108"/>
        <item m="1" x="120"/>
        <item m="1" x="110"/>
        <item m="1" x="94"/>
        <item m="1" x="67"/>
        <item m="1" x="46"/>
        <item m="1" x="61"/>
        <item m="1" x="25"/>
        <item m="1" x="31"/>
        <item m="1" x="40"/>
        <item m="1" x="44"/>
        <item m="1" x="76"/>
        <item m="1" x="121"/>
        <item m="1" x="111"/>
        <item m="1" x="95"/>
        <item m="1" x="62"/>
        <item m="1" x="130"/>
        <item m="1" x="78"/>
        <item m="1" x="66"/>
        <item m="1" x="98"/>
        <item m="1" x="79"/>
        <item m="1" x="58"/>
        <item m="1" x="65"/>
        <item m="1" x="19"/>
        <item m="1" x="84"/>
        <item m="1" x="100"/>
        <item m="1" x="109"/>
        <item m="1" x="117"/>
        <item m="1" x="128"/>
        <item m="1" x="16"/>
        <item m="1" x="35"/>
        <item m="1" x="127"/>
        <item m="1" x="17"/>
        <item m="1" x="85"/>
        <item m="1" x="60"/>
        <item m="1" x="75"/>
        <item m="1" x="20"/>
        <item m="1" x="126"/>
        <item m="1" x="107"/>
        <item m="1" x="57"/>
        <item m="1" x="118"/>
        <item m="1" x="77"/>
        <item m="1" x="97"/>
        <item m="1" x="112"/>
        <item m="1" x="49"/>
        <item m="1" x="72"/>
        <item m="1" x="7"/>
        <item x="0"/>
        <item x="1"/>
        <item x="2"/>
        <item x="3"/>
        <item x="4"/>
        <item x="5"/>
        <item x="6"/>
      </items>
    </pivotField>
    <pivotField axis="axisRow" compact="0" outline="0" showAll="0" defaultSubtotal="0">
      <items count="7">
        <item x="0"/>
        <item x="1"/>
        <item x="2"/>
        <item x="3"/>
        <item x="4"/>
        <item m="1" x="6"/>
        <item m="1" x="5"/>
      </items>
    </pivotField>
    <pivotField axis="axisRow" compact="0" outline="0" showAll="0" defaultSubtotal="0">
      <items count="5">
        <item x="2"/>
        <item x="1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3">
    <i>
      <x v="3"/>
      <x v="124"/>
      <x/>
      <x v="2"/>
    </i>
    <i r="2">
      <x v="1"/>
      <x v="2"/>
    </i>
    <i r="2">
      <x v="2"/>
      <x v="2"/>
    </i>
    <i r="1">
      <x v="125"/>
      <x/>
      <x v="2"/>
    </i>
    <i r="2">
      <x v="1"/>
      <x v="2"/>
    </i>
    <i r="2">
      <x v="2"/>
      <x v="2"/>
    </i>
    <i r="1">
      <x v="126"/>
      <x/>
      <x v="2"/>
    </i>
    <i r="2">
      <x v="1"/>
      <x v="2"/>
    </i>
    <i r="2">
      <x v="2"/>
      <x v="2"/>
    </i>
    <i r="1">
      <x v="127"/>
      <x v="3"/>
      <x v="1"/>
    </i>
    <i r="1">
      <x v="128"/>
      <x v="3"/>
      <x v="1"/>
    </i>
    <i r="1">
      <x v="129"/>
      <x v="3"/>
      <x v="1"/>
    </i>
    <i r="1">
      <x v="130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25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2" tableType="queryTable" totalsRowShown="0">
  <autoFilter ref="A1:Y12" xr:uid="{C3D003CA-1AFF-426C-A03D-D3AF5760DF1A}"/>
  <sortState xmlns:xlrd2="http://schemas.microsoft.com/office/spreadsheetml/2017/richdata2" ref="A2:Y12">
    <sortCondition ref="D1:D12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4" tableType="queryTable" totalsRowShown="0">
  <autoFilter ref="A1:U14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3" tableType="queryTable" totalsRowShown="0">
  <autoFilter ref="A1:O3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0" tableType="queryTable" totalsRowShown="0">
  <autoFilter ref="A1:P10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tabSelected="1" workbookViewId="0">
      <selection activeCell="F18" sqref="F18"/>
    </sheetView>
  </sheetViews>
  <sheetFormatPr defaultRowHeight="15" x14ac:dyDescent="0.25"/>
  <cols>
    <col min="1" max="1" width="16.42578125" bestFit="1" customWidth="1"/>
    <col min="2" max="2" width="26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69</v>
      </c>
      <c r="C2" t="s">
        <v>70</v>
      </c>
      <c r="D2">
        <v>2</v>
      </c>
      <c r="E2">
        <v>1</v>
      </c>
      <c r="F2">
        <v>5000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5"/>
  <sheetViews>
    <sheetView workbookViewId="0"/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13.8554687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13.8554687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0.85546875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71</v>
      </c>
      <c r="C3" t="s">
        <v>72</v>
      </c>
      <c r="D3" t="s">
        <v>73</v>
      </c>
      <c r="E3" s="5">
        <v>10.449291568873001</v>
      </c>
      <c r="F3" s="5">
        <v>1</v>
      </c>
      <c r="G3" s="5">
        <v>0.29522877739651299</v>
      </c>
      <c r="H3" s="5">
        <v>0</v>
      </c>
      <c r="I3" s="5">
        <v>10.449291568873001</v>
      </c>
      <c r="J3" s="5">
        <v>10.449291568873001</v>
      </c>
      <c r="K3" s="5">
        <v>8.9999999999999893</v>
      </c>
      <c r="L3" s="5">
        <v>17.9516003122285</v>
      </c>
      <c r="M3" s="5">
        <v>683</v>
      </c>
      <c r="O3" t="s">
        <v>67</v>
      </c>
      <c r="P3" t="s">
        <v>88</v>
      </c>
      <c r="Q3" t="s">
        <v>89</v>
      </c>
      <c r="R3" t="s">
        <v>90</v>
      </c>
      <c r="S3" s="5">
        <v>0.88961242052726197</v>
      </c>
      <c r="T3" s="5">
        <v>8.1086015706751807E-3</v>
      </c>
      <c r="U3" s="5">
        <v>0</v>
      </c>
      <c r="V3" s="5">
        <v>0.88961242052726197</v>
      </c>
      <c r="W3" s="5">
        <v>0.88961242052726197</v>
      </c>
      <c r="X3" s="5">
        <v>0</v>
      </c>
      <c r="Y3" s="5">
        <v>1</v>
      </c>
      <c r="AA3" t="s">
        <v>67</v>
      </c>
      <c r="AB3" t="s">
        <v>97</v>
      </c>
      <c r="AC3" t="s">
        <v>98</v>
      </c>
      <c r="AD3" t="s">
        <v>73</v>
      </c>
      <c r="AE3" s="5">
        <v>683</v>
      </c>
      <c r="AF3" s="5">
        <v>4E+20</v>
      </c>
      <c r="AG3" s="5">
        <v>0</v>
      </c>
      <c r="AH3" s="5">
        <v>683</v>
      </c>
      <c r="AI3" s="5">
        <v>683</v>
      </c>
      <c r="AK3" t="s">
        <v>67</v>
      </c>
      <c r="AL3" t="s">
        <v>112</v>
      </c>
      <c r="AM3" t="s">
        <v>111</v>
      </c>
      <c r="AN3" t="s">
        <v>113</v>
      </c>
      <c r="AO3" s="5">
        <v>1111</v>
      </c>
      <c r="AP3" s="5">
        <v>4E+20</v>
      </c>
      <c r="AQ3" s="5">
        <v>0</v>
      </c>
      <c r="AR3" s="5">
        <v>1111</v>
      </c>
      <c r="AS3" s="5">
        <v>1111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B4" t="s">
        <v>74</v>
      </c>
      <c r="C4" t="s">
        <v>72</v>
      </c>
      <c r="D4" t="s">
        <v>73</v>
      </c>
      <c r="E4" s="5">
        <v>8.3052050116980194</v>
      </c>
      <c r="F4" s="5">
        <v>1</v>
      </c>
      <c r="G4" s="5">
        <v>7.5778809760464902E-2</v>
      </c>
      <c r="H4" s="5">
        <v>0</v>
      </c>
      <c r="I4" s="5">
        <v>8.3052050116980194</v>
      </c>
      <c r="J4" s="5">
        <v>8.3052050116980194</v>
      </c>
      <c r="K4" s="5">
        <v>8</v>
      </c>
      <c r="L4" s="5">
        <v>11.4695062088144</v>
      </c>
      <c r="M4" s="5">
        <v>428</v>
      </c>
      <c r="Q4" t="s">
        <v>91</v>
      </c>
      <c r="R4" t="s">
        <v>90</v>
      </c>
      <c r="S4" s="5">
        <v>0.88961242052726197</v>
      </c>
      <c r="T4" s="5">
        <v>8.1086015706751807E-3</v>
      </c>
      <c r="U4" s="5">
        <v>0</v>
      </c>
      <c r="V4" s="5">
        <v>0.88961242052726197</v>
      </c>
      <c r="W4" s="5">
        <v>0.88961242052726197</v>
      </c>
      <c r="X4" s="5">
        <v>0</v>
      </c>
      <c r="Y4" s="5">
        <v>1</v>
      </c>
      <c r="AB4" t="s">
        <v>99</v>
      </c>
      <c r="AC4" t="s">
        <v>98</v>
      </c>
      <c r="AD4" t="s">
        <v>73</v>
      </c>
      <c r="AE4" s="5">
        <v>429</v>
      </c>
      <c r="AF4" s="5">
        <v>4E+20</v>
      </c>
      <c r="AG4" s="5">
        <v>0</v>
      </c>
      <c r="AH4" s="5">
        <v>429</v>
      </c>
      <c r="AI4" s="5">
        <v>429</v>
      </c>
      <c r="AL4" t="s">
        <v>100</v>
      </c>
      <c r="AM4" t="s">
        <v>101</v>
      </c>
      <c r="AN4" t="s">
        <v>90</v>
      </c>
      <c r="AO4" s="5">
        <v>1113</v>
      </c>
      <c r="AP4" s="5">
        <v>4E+20</v>
      </c>
      <c r="AQ4" s="5">
        <v>0</v>
      </c>
      <c r="AR4" s="5">
        <v>1113</v>
      </c>
      <c r="AS4" s="5">
        <v>1113</v>
      </c>
    </row>
    <row r="5" spans="1:52" x14ac:dyDescent="0.25">
      <c r="B5" t="s">
        <v>75</v>
      </c>
      <c r="C5" t="s">
        <v>76</v>
      </c>
      <c r="D5" t="s">
        <v>77</v>
      </c>
      <c r="E5" s="5">
        <v>0.32918931016915198</v>
      </c>
      <c r="F5" s="5">
        <v>1</v>
      </c>
      <c r="G5" s="5">
        <v>6.7919991792421502E-2</v>
      </c>
      <c r="H5" s="5">
        <v>0</v>
      </c>
      <c r="I5" s="5">
        <v>0.32918931016915198</v>
      </c>
      <c r="J5" s="5">
        <v>0.32918931016915198</v>
      </c>
      <c r="K5" s="5">
        <v>0</v>
      </c>
      <c r="L5" s="5">
        <v>3.4695062088144399</v>
      </c>
      <c r="M5" s="5">
        <v>1113</v>
      </c>
      <c r="Q5" t="s">
        <v>92</v>
      </c>
      <c r="R5" t="s">
        <v>90</v>
      </c>
      <c r="S5" s="5">
        <v>1</v>
      </c>
      <c r="T5" s="5">
        <v>2E+20</v>
      </c>
      <c r="U5" s="5">
        <v>0</v>
      </c>
      <c r="V5" s="5">
        <v>1</v>
      </c>
      <c r="W5" s="5">
        <v>1</v>
      </c>
      <c r="X5" s="5">
        <v>1</v>
      </c>
      <c r="Y5" s="5">
        <v>1</v>
      </c>
      <c r="AL5" t="s">
        <v>102</v>
      </c>
      <c r="AM5" t="s">
        <v>103</v>
      </c>
      <c r="AN5" t="s">
        <v>90</v>
      </c>
      <c r="AO5" s="5">
        <v>0.88961242052726197</v>
      </c>
      <c r="AP5" s="5">
        <v>4E+20</v>
      </c>
      <c r="AQ5" s="5">
        <v>0</v>
      </c>
      <c r="AR5" s="5">
        <v>0.88961242052726197</v>
      </c>
      <c r="AS5" s="5">
        <v>0.88961242052726197</v>
      </c>
    </row>
    <row r="6" spans="1:52" x14ac:dyDescent="0.25">
      <c r="B6" t="s">
        <v>78</v>
      </c>
      <c r="C6" t="s">
        <v>76</v>
      </c>
      <c r="D6" t="s">
        <v>77</v>
      </c>
      <c r="E6" s="5">
        <v>1.1066314900625001</v>
      </c>
      <c r="F6" s="5">
        <v>1</v>
      </c>
      <c r="G6" s="5">
        <v>0.27758609018687203</v>
      </c>
      <c r="H6" s="5">
        <v>0</v>
      </c>
      <c r="I6" s="5">
        <v>1.1066314900625001</v>
      </c>
      <c r="J6" s="5">
        <v>1.1066314900625001</v>
      </c>
      <c r="K6" s="5">
        <v>0</v>
      </c>
      <c r="L6" s="5">
        <v>8.1567470519244107</v>
      </c>
      <c r="M6" s="5">
        <v>683</v>
      </c>
      <c r="P6" t="s">
        <v>93</v>
      </c>
      <c r="Q6" t="s">
        <v>89</v>
      </c>
      <c r="R6" t="s">
        <v>90</v>
      </c>
      <c r="S6" s="5">
        <v>0.68300000000000005</v>
      </c>
      <c r="T6" s="5">
        <v>3.2734842760330798E-2</v>
      </c>
      <c r="U6" s="5">
        <v>0</v>
      </c>
      <c r="V6" s="5">
        <v>0.68300000000000005</v>
      </c>
      <c r="W6" s="5">
        <v>0.68300000000000005</v>
      </c>
      <c r="X6" s="5">
        <v>0</v>
      </c>
      <c r="Y6" s="5">
        <v>1</v>
      </c>
      <c r="AL6" t="s">
        <v>104</v>
      </c>
      <c r="AM6" t="s">
        <v>101</v>
      </c>
      <c r="AN6" t="s">
        <v>90</v>
      </c>
      <c r="AO6" s="5">
        <v>683</v>
      </c>
      <c r="AP6" s="5">
        <v>4E+20</v>
      </c>
      <c r="AQ6" s="5">
        <v>0</v>
      </c>
      <c r="AR6" s="5">
        <v>683</v>
      </c>
      <c r="AS6" s="5">
        <v>683</v>
      </c>
    </row>
    <row r="7" spans="1:52" x14ac:dyDescent="0.25">
      <c r="B7" t="s">
        <v>79</v>
      </c>
      <c r="C7" t="s">
        <v>76</v>
      </c>
      <c r="D7" t="s">
        <v>77</v>
      </c>
      <c r="E7" s="5">
        <v>0</v>
      </c>
      <c r="F7" s="5">
        <v>1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429</v>
      </c>
      <c r="Q7" t="s">
        <v>91</v>
      </c>
      <c r="R7" t="s">
        <v>90</v>
      </c>
      <c r="S7" s="5">
        <v>0.68300000000000005</v>
      </c>
      <c r="T7" s="5">
        <v>3.2734842760330798E-2</v>
      </c>
      <c r="U7" s="5">
        <v>0</v>
      </c>
      <c r="V7" s="5">
        <v>0.68300000000000005</v>
      </c>
      <c r="W7" s="5">
        <v>0.68300000000000005</v>
      </c>
      <c r="X7" s="5">
        <v>0</v>
      </c>
      <c r="Y7" s="5">
        <v>1</v>
      </c>
      <c r="AL7" t="s">
        <v>105</v>
      </c>
      <c r="AM7" t="s">
        <v>103</v>
      </c>
      <c r="AN7" t="s">
        <v>90</v>
      </c>
      <c r="AO7" s="5">
        <v>0.68300000000000005</v>
      </c>
      <c r="AP7" s="5">
        <v>4E+20</v>
      </c>
      <c r="AQ7" s="5">
        <v>0</v>
      </c>
      <c r="AR7" s="5">
        <v>0.68300000000000005</v>
      </c>
      <c r="AS7" s="5">
        <v>0.68300000000000005</v>
      </c>
    </row>
    <row r="8" spans="1:52" x14ac:dyDescent="0.25">
      <c r="B8" t="s">
        <v>80</v>
      </c>
      <c r="C8" t="s">
        <v>81</v>
      </c>
      <c r="D8" t="s">
        <v>82</v>
      </c>
      <c r="E8" s="5">
        <v>0</v>
      </c>
      <c r="F8" s="5">
        <v>1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1111</v>
      </c>
      <c r="Q8" t="s">
        <v>92</v>
      </c>
      <c r="R8" t="s">
        <v>90</v>
      </c>
      <c r="S8" s="5">
        <v>1</v>
      </c>
      <c r="T8" s="5">
        <v>2E+20</v>
      </c>
      <c r="U8" s="5">
        <v>0</v>
      </c>
      <c r="V8" s="5">
        <v>1</v>
      </c>
      <c r="W8" s="5">
        <v>1</v>
      </c>
      <c r="X8" s="5">
        <v>1</v>
      </c>
      <c r="Y8" s="5">
        <v>1</v>
      </c>
      <c r="AL8" t="s">
        <v>106</v>
      </c>
      <c r="AM8" t="s">
        <v>101</v>
      </c>
      <c r="AN8" t="s">
        <v>90</v>
      </c>
      <c r="AO8" s="5">
        <v>429</v>
      </c>
      <c r="AP8" s="5">
        <v>4E+20</v>
      </c>
      <c r="AQ8" s="5">
        <v>0</v>
      </c>
      <c r="AR8" s="5">
        <v>429</v>
      </c>
      <c r="AS8" s="5">
        <v>429</v>
      </c>
    </row>
    <row r="9" spans="1:52" x14ac:dyDescent="0.25">
      <c r="C9" t="s">
        <v>83</v>
      </c>
      <c r="D9" t="s">
        <v>82</v>
      </c>
      <c r="E9" s="5">
        <v>0</v>
      </c>
      <c r="F9" s="5">
        <v>1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1111</v>
      </c>
      <c r="P9" t="s">
        <v>94</v>
      </c>
      <c r="Q9" t="s">
        <v>89</v>
      </c>
      <c r="R9" t="s">
        <v>90</v>
      </c>
      <c r="S9" s="5">
        <v>0.34241242052726301</v>
      </c>
      <c r="T9" s="5">
        <v>2.46181039115516E-2</v>
      </c>
      <c r="U9" s="5">
        <v>0</v>
      </c>
      <c r="V9" s="5">
        <v>0.34241242052726301</v>
      </c>
      <c r="W9" s="5">
        <v>0.34241242052726301</v>
      </c>
      <c r="X9" s="5">
        <v>0</v>
      </c>
      <c r="Y9" s="5">
        <v>1</v>
      </c>
      <c r="AL9" t="s">
        <v>107</v>
      </c>
      <c r="AM9" t="s">
        <v>103</v>
      </c>
      <c r="AN9" t="s">
        <v>90</v>
      </c>
      <c r="AO9" s="5">
        <v>0.34241242052726301</v>
      </c>
      <c r="AP9" s="5">
        <v>4E+20</v>
      </c>
      <c r="AQ9" s="5">
        <v>0</v>
      </c>
      <c r="AR9" s="5">
        <v>0.34241242052726301</v>
      </c>
      <c r="AS9" s="5">
        <v>0.34241242052726301</v>
      </c>
    </row>
    <row r="10" spans="1:52" x14ac:dyDescent="0.25">
      <c r="C10" t="s">
        <v>84</v>
      </c>
      <c r="D10" t="s">
        <v>82</v>
      </c>
      <c r="E10" s="5">
        <v>9.6233068285751404</v>
      </c>
      <c r="F10" s="5">
        <v>1</v>
      </c>
      <c r="G10" s="5">
        <v>0.200604231760941</v>
      </c>
      <c r="H10" s="5">
        <v>0</v>
      </c>
      <c r="I10" s="5">
        <v>9.6233068285751404</v>
      </c>
      <c r="J10" s="5">
        <v>9.6233068285751404</v>
      </c>
      <c r="K10" s="5">
        <v>8</v>
      </c>
      <c r="L10" s="5">
        <v>17.9516003122285</v>
      </c>
      <c r="M10" s="5">
        <v>1111</v>
      </c>
      <c r="Q10" t="s">
        <v>91</v>
      </c>
      <c r="R10" t="s">
        <v>90</v>
      </c>
      <c r="S10" s="5">
        <v>0.34241242052726301</v>
      </c>
      <c r="T10" s="5">
        <v>2.46181039115516E-2</v>
      </c>
      <c r="U10" s="5">
        <v>0</v>
      </c>
      <c r="V10" s="5">
        <v>0.34241242052726301</v>
      </c>
      <c r="W10" s="5">
        <v>0.34241242052726301</v>
      </c>
      <c r="X10" s="5">
        <v>0</v>
      </c>
      <c r="Y10" s="5">
        <v>1</v>
      </c>
      <c r="AL10" t="s">
        <v>108</v>
      </c>
      <c r="AM10" t="s">
        <v>109</v>
      </c>
      <c r="AN10" t="s">
        <v>82</v>
      </c>
      <c r="AO10" s="5">
        <v>1113</v>
      </c>
      <c r="AP10" s="5">
        <v>4E+20</v>
      </c>
      <c r="AQ10" s="5">
        <v>0</v>
      </c>
      <c r="AR10" s="5">
        <v>1113</v>
      </c>
      <c r="AS10" s="5">
        <v>1113</v>
      </c>
    </row>
    <row r="11" spans="1:52" x14ac:dyDescent="0.25">
      <c r="C11" t="s">
        <v>85</v>
      </c>
      <c r="D11" t="s">
        <v>82</v>
      </c>
      <c r="E11" s="5">
        <v>0</v>
      </c>
      <c r="F11" s="5">
        <v>1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1111</v>
      </c>
      <c r="Q11" t="s">
        <v>92</v>
      </c>
      <c r="R11" t="s">
        <v>90</v>
      </c>
      <c r="S11" s="5">
        <v>1</v>
      </c>
      <c r="T11" s="5">
        <v>2E+20</v>
      </c>
      <c r="U11" s="5">
        <v>0</v>
      </c>
      <c r="V11" s="5">
        <v>1</v>
      </c>
      <c r="W11" s="5">
        <v>1</v>
      </c>
      <c r="X11" s="5">
        <v>1</v>
      </c>
      <c r="Y11" s="5">
        <v>1</v>
      </c>
      <c r="AL11" t="s">
        <v>110</v>
      </c>
      <c r="AM11" t="s">
        <v>111</v>
      </c>
      <c r="AN11" t="s">
        <v>82</v>
      </c>
      <c r="AO11" s="5">
        <v>1111</v>
      </c>
      <c r="AP11" s="5">
        <v>4E+20</v>
      </c>
      <c r="AQ11" s="5">
        <v>0</v>
      </c>
      <c r="AR11" s="5">
        <v>1111</v>
      </c>
      <c r="AS11" s="5">
        <v>1111</v>
      </c>
    </row>
    <row r="12" spans="1:52" x14ac:dyDescent="0.25">
      <c r="C12" t="s">
        <v>86</v>
      </c>
      <c r="D12" t="s">
        <v>82</v>
      </c>
      <c r="E12" s="5">
        <v>8.6147614761476099</v>
      </c>
      <c r="F12" s="5">
        <v>1</v>
      </c>
      <c r="G12" s="5">
        <v>2.4031672992494299E-2</v>
      </c>
      <c r="H12" s="5">
        <v>0</v>
      </c>
      <c r="I12" s="5">
        <v>8.6147614761476099</v>
      </c>
      <c r="J12" s="5">
        <v>8.6147614761476099</v>
      </c>
      <c r="K12" s="5">
        <v>7.9999999999995497</v>
      </c>
      <c r="L12" s="5">
        <v>9.0000000000000302</v>
      </c>
      <c r="M12" s="5">
        <v>1111</v>
      </c>
      <c r="P12" t="s">
        <v>75</v>
      </c>
      <c r="Q12" t="s">
        <v>95</v>
      </c>
      <c r="R12" t="s">
        <v>77</v>
      </c>
      <c r="S12" s="5">
        <v>7.3277540443653297E-2</v>
      </c>
      <c r="T12" s="5">
        <v>1.35443616779402E-2</v>
      </c>
      <c r="U12" s="5">
        <v>0</v>
      </c>
      <c r="V12" s="5">
        <v>7.3277540443653297E-2</v>
      </c>
      <c r="W12" s="5">
        <v>7.3277540443653297E-2</v>
      </c>
      <c r="X12" s="5">
        <v>0</v>
      </c>
      <c r="Y12" s="5">
        <v>1</v>
      </c>
    </row>
    <row r="13" spans="1:52" x14ac:dyDescent="0.25">
      <c r="C13" t="s">
        <v>87</v>
      </c>
      <c r="D13" t="s">
        <v>82</v>
      </c>
      <c r="E13" s="5">
        <v>1.0085453524275301</v>
      </c>
      <c r="F13" s="5">
        <v>1</v>
      </c>
      <c r="G13" s="5">
        <v>0.18853051164142401</v>
      </c>
      <c r="H13" s="5">
        <v>0</v>
      </c>
      <c r="I13" s="5">
        <v>1.0085453524275301</v>
      </c>
      <c r="J13" s="5">
        <v>1.0085453524275301</v>
      </c>
      <c r="K13" s="5">
        <v>0</v>
      </c>
      <c r="L13" s="5">
        <v>8.9516003122284893</v>
      </c>
      <c r="M13" s="5">
        <v>1111</v>
      </c>
      <c r="P13" t="s">
        <v>78</v>
      </c>
      <c r="Q13" t="s">
        <v>95</v>
      </c>
      <c r="R13" t="s">
        <v>77</v>
      </c>
      <c r="S13" s="5">
        <v>0.151165861542538</v>
      </c>
      <c r="T13" s="5">
        <v>4.0837304441993898E-2</v>
      </c>
      <c r="U13" s="5">
        <v>0</v>
      </c>
      <c r="V13" s="5">
        <v>0.151165861542538</v>
      </c>
      <c r="W13" s="5">
        <v>0.151165861542538</v>
      </c>
      <c r="X13" s="5">
        <v>0</v>
      </c>
      <c r="Y13" s="5">
        <v>2</v>
      </c>
    </row>
    <row r="14" spans="1:52" x14ac:dyDescent="0.25">
      <c r="P14" t="s">
        <v>79</v>
      </c>
      <c r="Q14" t="s">
        <v>95</v>
      </c>
      <c r="R14" t="s">
        <v>77</v>
      </c>
      <c r="S14" s="5">
        <v>0</v>
      </c>
      <c r="T14" s="5">
        <v>2E+20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</row>
    <row r="15" spans="1:52" x14ac:dyDescent="0.25">
      <c r="P15" t="s">
        <v>80</v>
      </c>
      <c r="Q15" t="s">
        <v>96</v>
      </c>
      <c r="R15" t="s">
        <v>82</v>
      </c>
      <c r="S15" s="5">
        <v>2.1394682430407199</v>
      </c>
      <c r="T15" s="5">
        <v>6.1825787628699197E-2</v>
      </c>
      <c r="U15" s="5">
        <v>0</v>
      </c>
      <c r="V15" s="5">
        <v>2.1394682430407199</v>
      </c>
      <c r="W15" s="5">
        <v>2.1394682430407199</v>
      </c>
      <c r="X15" s="5">
        <v>0</v>
      </c>
      <c r="Y15" s="5">
        <v>4</v>
      </c>
    </row>
  </sheetData>
  <dataConsolidate/>
  <conditionalFormatting pivot="1" sqref="G3:G13">
    <cfRule type="expression" dxfId="31" priority="14">
      <formula>G3=200000000000000000000</formula>
    </cfRule>
  </conditionalFormatting>
  <conditionalFormatting pivot="1" sqref="T3:T15">
    <cfRule type="expression" dxfId="30" priority="13">
      <formula>T3=200000000000000000000</formula>
    </cfRule>
  </conditionalFormatting>
  <conditionalFormatting pivot="1" sqref="T3:T15">
    <cfRule type="expression" dxfId="29" priority="12">
      <formula>T3=300000000000000000000</formula>
    </cfRule>
  </conditionalFormatting>
  <conditionalFormatting pivot="1" sqref="G3:G13">
    <cfRule type="expression" dxfId="28" priority="11">
      <formula>G3=300000000000000000000</formula>
    </cfRule>
  </conditionalFormatting>
  <conditionalFormatting pivot="1" sqref="F3:F13">
    <cfRule type="expression" dxfId="27" priority="10">
      <formula>F3=0</formula>
    </cfRule>
  </conditionalFormatting>
  <conditionalFormatting pivot="1" sqref="F3:F13">
    <cfRule type="expression" dxfId="26" priority="9">
      <formula>F3=1</formula>
    </cfRule>
  </conditionalFormatting>
  <conditionalFormatting pivot="1" sqref="T3:T15">
    <cfRule type="expression" dxfId="25" priority="8">
      <formula>T3=400000000000000000000</formula>
    </cfRule>
  </conditionalFormatting>
  <conditionalFormatting pivot="1" sqref="AP3:AP11">
    <cfRule type="expression" dxfId="24" priority="7">
      <formula>AP3=400000000000000000000</formula>
    </cfRule>
  </conditionalFormatting>
  <conditionalFormatting pivot="1" sqref="AF3:AF4">
    <cfRule type="expression" dxfId="23" priority="6">
      <formula>AF3=400000000000000000000</formula>
    </cfRule>
  </conditionalFormatting>
  <conditionalFormatting pivot="1" sqref="G3:G13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2"/>
  <sheetViews>
    <sheetView workbookViewId="0">
      <selection activeCell="F43" sqref="F43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18.5703125" bestFit="1" customWidth="1"/>
    <col min="5" max="5" width="13.28515625" bestFit="1" customWidth="1"/>
    <col min="6" max="6" width="13.8554687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52.7109375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10.449291568873001</v>
      </c>
      <c r="H2">
        <v>0.29522877739651299</v>
      </c>
      <c r="I2">
        <v>8.9999999999999893</v>
      </c>
      <c r="J2">
        <v>17.9516003122285</v>
      </c>
      <c r="K2">
        <v>683</v>
      </c>
      <c r="L2" t="str">
        <f>DiscreteStatsTable[[#This Row],[ProjectName]]&amp;DiscreteStatsTable[[#This Row],[Name]]&amp;DiscreteStatsTable[[#This Row],[Type]]&amp;DiscreteStatsTable[[#This Row],[Source]]</f>
        <v>Unnamed ProjectDuree P1IntervalUser Specified</v>
      </c>
      <c r="M2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>
        <f t="array" ref="N2">IFERROR(AVERAGE(IF((DiscreteStatsTable[GroupByKey]=DiscreteStatsTable[[#This Row],[GroupByKey]]),(DiscreteStatsTable[GroupByKey]=DiscreteStatsTable[[#This Row],[GroupByKey]])*DiscreteStatsTable[Average])),0)</f>
        <v>10.449291568873001</v>
      </c>
      <c r="O2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>
        <f t="array" ref="R2">MIN(IF((DiscreteStatsTable[GroupByKey]=DiscreteStatsTable[[#This Row],[GroupByKey]]),(DiscreteStatsTable[GroupByKey]=DiscreteStatsTable[[#This Row],[GroupByKey]])*DiscreteStatsTable[Average]))</f>
        <v>10.449291568873001</v>
      </c>
      <c r="S2">
        <f t="array" ref="S2">MAX(IF((DiscreteStatsTable[GroupByKey]=DiscreteStatsTable[[#This Row],[GroupByKey]]),(DiscreteStatsTable[GroupByKey]=DiscreteStatsTable[[#This Row],[GroupByKey]])*DiscreteStatsTable[Average]))</f>
        <v>10.449291568873001</v>
      </c>
      <c r="T2">
        <f t="array" ref="T2">MIN(IF((DiscreteStatsTable[GroupByKey]=DiscreteStatsTable[[#This Row],[GroupByKey]]),(DiscreteStatsTable[GroupByKey]=DiscreteStatsTable[[#This Row],[GroupByKey]])*DiscreteStatsTable[Minimum]))</f>
        <v>8.9999999999999893</v>
      </c>
      <c r="U2">
        <f t="array" ref="U2">MAX(IF((DiscreteStatsTable[GroupByKey]=DiscreteStatsTable[[#This Row],[GroupByKey]]),(DiscreteStatsTable[GroupByKey]=DiscreteStatsTable[[#This Row],[GroupByKey]])*DiscreteStatsTable[Maximum]))</f>
        <v>17.9516003122285</v>
      </c>
      <c r="V2">
        <f t="array" ref="V2">IFERROR(AVERAGE(IF((DiscreteStatsTable[GroupByKey]=DiscreteStatsTable[[#This Row],[GroupByKey]]),(DiscreteStatsTable[GroupByKey]=DiscreteStatsTable[[#This Row],[GroupByKey]])*DiscreteStatsTable[NumberObservations])),0)</f>
        <v>683</v>
      </c>
      <c r="W2">
        <f>IF((DiscreteStatsTable[[#This Row],[RepsRequested]]&gt;1),DiscreteStatsTable[[#This Row],[HalfWidth]],DiscreteStatsTable[[#This Row],[BatchMeansHalfWidth]])</f>
        <v>0.29522877739651299</v>
      </c>
      <c r="X2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70</v>
      </c>
      <c r="C3">
        <v>1</v>
      </c>
      <c r="D3" t="s">
        <v>74</v>
      </c>
      <c r="E3" t="s">
        <v>72</v>
      </c>
      <c r="F3" t="s">
        <v>73</v>
      </c>
      <c r="G3">
        <v>8.3052050116980194</v>
      </c>
      <c r="H3">
        <v>7.5778809760464902E-2</v>
      </c>
      <c r="I3">
        <v>8</v>
      </c>
      <c r="J3">
        <v>11.4695062088144</v>
      </c>
      <c r="K3">
        <v>428</v>
      </c>
      <c r="L3" t="str">
        <f>DiscreteStatsTable[[#This Row],[ProjectName]]&amp;DiscreteStatsTable[[#This Row],[Name]]&amp;DiscreteStatsTable[[#This Row],[Type]]&amp;DiscreteStatsTable[[#This Row],[Source]]</f>
        <v>Unnamed ProjectDuree P2IntervalUser Specified</v>
      </c>
      <c r="M3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>
        <f t="array" ref="N3">IFERROR(AVERAGE(IF((DiscreteStatsTable[GroupByKey]=DiscreteStatsTable[[#This Row],[GroupByKey]]),(DiscreteStatsTable[GroupByKey]=DiscreteStatsTable[[#This Row],[GroupByKey]])*DiscreteStatsTable[Average])),0)</f>
        <v>8.3052050116980194</v>
      </c>
      <c r="O3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>
        <f t="array" ref="R3">MIN(IF((DiscreteStatsTable[GroupByKey]=DiscreteStatsTable[[#This Row],[GroupByKey]]),(DiscreteStatsTable[GroupByKey]=DiscreteStatsTable[[#This Row],[GroupByKey]])*DiscreteStatsTable[Average]))</f>
        <v>8.3052050116980194</v>
      </c>
      <c r="S3">
        <f t="array" ref="S3">MAX(IF((DiscreteStatsTable[GroupByKey]=DiscreteStatsTable[[#This Row],[GroupByKey]]),(DiscreteStatsTable[GroupByKey]=DiscreteStatsTable[[#This Row],[GroupByKey]])*DiscreteStatsTable[Average]))</f>
        <v>8.3052050116980194</v>
      </c>
      <c r="T3">
        <f t="array" ref="T3">MIN(IF((DiscreteStatsTable[GroupByKey]=DiscreteStatsTable[[#This Row],[GroupByKey]]),(DiscreteStatsTable[GroupByKey]=DiscreteStatsTable[[#This Row],[GroupByKey]])*DiscreteStatsTable[Minimum]))</f>
        <v>8</v>
      </c>
      <c r="U3">
        <f t="array" ref="U3">MAX(IF((DiscreteStatsTable[GroupByKey]=DiscreteStatsTable[[#This Row],[GroupByKey]]),(DiscreteStatsTable[GroupByKey]=DiscreteStatsTable[[#This Row],[GroupByKey]])*DiscreteStatsTable[Maximum]))</f>
        <v>11.4695062088144</v>
      </c>
      <c r="V3">
        <f t="array" ref="V3">IFERROR(AVERAGE(IF((DiscreteStatsTable[GroupByKey]=DiscreteStatsTable[[#This Row],[GroupByKey]]),(DiscreteStatsTable[GroupByKey]=DiscreteStatsTable[[#This Row],[GroupByKey]])*DiscreteStatsTable[NumberObservations])),0)</f>
        <v>428</v>
      </c>
      <c r="W3">
        <f>IF((DiscreteStatsTable[[#This Row],[RepsRequested]]&gt;1),DiscreteStatsTable[[#This Row],[HalfWidth]],DiscreteStatsTable[[#This Row],[BatchMeansHalfWidth]])</f>
        <v>7.5778809760464902E-2</v>
      </c>
      <c r="X3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70</v>
      </c>
      <c r="C4">
        <v>1</v>
      </c>
      <c r="D4" t="s">
        <v>75</v>
      </c>
      <c r="E4" t="s">
        <v>76</v>
      </c>
      <c r="F4" t="s">
        <v>77</v>
      </c>
      <c r="G4">
        <v>0.32918931016915198</v>
      </c>
      <c r="H4">
        <v>6.7919991792421502E-2</v>
      </c>
      <c r="I4">
        <v>0</v>
      </c>
      <c r="J4">
        <v>3.4695062088144399</v>
      </c>
      <c r="K4">
        <v>1113</v>
      </c>
      <c r="L4" t="str">
        <f>DiscreteStatsTable[[#This Row],[ProjectName]]&amp;DiscreteStatsTable[[#This Row],[Name]]&amp;DiscreteStatsTable[[#This Row],[Type]]&amp;DiscreteStatsTable[[#This Row],[Source]]</f>
        <v>Unnamed ProjectMachine M1.QueueWaiting TimeQueue</v>
      </c>
      <c r="M4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>
        <f t="array" ref="N4">IFERROR(AVERAGE(IF((DiscreteStatsTable[GroupByKey]=DiscreteStatsTable[[#This Row],[GroupByKey]]),(DiscreteStatsTable[GroupByKey]=DiscreteStatsTable[[#This Row],[GroupByKey]])*DiscreteStatsTable[Average])),0)</f>
        <v>0.32918931016915198</v>
      </c>
      <c r="O4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>
        <f t="array" ref="R4">MIN(IF((DiscreteStatsTable[GroupByKey]=DiscreteStatsTable[[#This Row],[GroupByKey]]),(DiscreteStatsTable[GroupByKey]=DiscreteStatsTable[[#This Row],[GroupByKey]])*DiscreteStatsTable[Average]))</f>
        <v>0.32918931016915198</v>
      </c>
      <c r="S4">
        <f t="array" ref="S4">MAX(IF((DiscreteStatsTable[GroupByKey]=DiscreteStatsTable[[#This Row],[GroupByKey]]),(DiscreteStatsTable[GroupByKey]=DiscreteStatsTable[[#This Row],[GroupByKey]])*DiscreteStatsTable[Average]))</f>
        <v>0.32918931016915198</v>
      </c>
      <c r="T4">
        <f t="array" ref="T4">MIN(IF((DiscreteStatsTable[GroupByKey]=DiscreteStatsTable[[#This Row],[GroupByKey]]),(DiscreteStatsTable[GroupByKey]=DiscreteStatsTable[[#This Row],[GroupByKey]])*DiscreteStatsTable[Minimum]))</f>
        <v>0</v>
      </c>
      <c r="U4">
        <f t="array" ref="U4">MAX(IF((DiscreteStatsTable[GroupByKey]=DiscreteStatsTable[[#This Row],[GroupByKey]]),(DiscreteStatsTable[GroupByKey]=DiscreteStatsTable[[#This Row],[GroupByKey]])*DiscreteStatsTable[Maximum]))</f>
        <v>3.4695062088144399</v>
      </c>
      <c r="V4">
        <f t="array" ref="V4">IFERROR(AVERAGE(IF((DiscreteStatsTable[GroupByKey]=DiscreteStatsTable[[#This Row],[GroupByKey]]),(DiscreteStatsTable[GroupByKey]=DiscreteStatsTable[[#This Row],[GroupByKey]])*DiscreteStatsTable[NumberObservations])),0)</f>
        <v>1113</v>
      </c>
      <c r="W4">
        <f>IF((DiscreteStatsTable[[#This Row],[RepsRequested]]&gt;1),DiscreteStatsTable[[#This Row],[HalfWidth]],DiscreteStatsTable[[#This Row],[BatchMeansHalfWidth]])</f>
        <v>6.7919991792421502E-2</v>
      </c>
      <c r="X4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70</v>
      </c>
      <c r="C5">
        <v>1</v>
      </c>
      <c r="D5" t="s">
        <v>78</v>
      </c>
      <c r="E5" t="s">
        <v>76</v>
      </c>
      <c r="F5" t="s">
        <v>77</v>
      </c>
      <c r="G5">
        <v>1.1066314900625001</v>
      </c>
      <c r="H5">
        <v>0.27758609018687203</v>
      </c>
      <c r="I5">
        <v>0</v>
      </c>
      <c r="J5">
        <v>8.1567470519244107</v>
      </c>
      <c r="K5">
        <v>683</v>
      </c>
      <c r="L5" t="str">
        <f>DiscreteStatsTable[[#This Row],[ProjectName]]&amp;DiscreteStatsTable[[#This Row],[Name]]&amp;DiscreteStatsTable[[#This Row],[Type]]&amp;DiscreteStatsTable[[#This Row],[Source]]</f>
        <v>Unnamed ProjectMachine M2.QueueWaiting TimeQueue</v>
      </c>
      <c r="M5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>
        <f t="array" ref="N5">IFERROR(AVERAGE(IF((DiscreteStatsTable[GroupByKey]=DiscreteStatsTable[[#This Row],[GroupByKey]]),(DiscreteStatsTable[GroupByKey]=DiscreteStatsTable[[#This Row],[GroupByKey]])*DiscreteStatsTable[Average])),0)</f>
        <v>1.1066314900625001</v>
      </c>
      <c r="O5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>
        <f t="array" ref="R5">MIN(IF((DiscreteStatsTable[GroupByKey]=DiscreteStatsTable[[#This Row],[GroupByKey]]),(DiscreteStatsTable[GroupByKey]=DiscreteStatsTable[[#This Row],[GroupByKey]])*DiscreteStatsTable[Average]))</f>
        <v>1.1066314900625001</v>
      </c>
      <c r="S5">
        <f t="array" ref="S5">MAX(IF((DiscreteStatsTable[GroupByKey]=DiscreteStatsTable[[#This Row],[GroupByKey]]),(DiscreteStatsTable[GroupByKey]=DiscreteStatsTable[[#This Row],[GroupByKey]])*DiscreteStatsTable[Average]))</f>
        <v>1.1066314900625001</v>
      </c>
      <c r="T5">
        <f t="array" ref="T5">MIN(IF((DiscreteStatsTable[GroupByKey]=DiscreteStatsTable[[#This Row],[GroupByKey]]),(DiscreteStatsTable[GroupByKey]=DiscreteStatsTable[[#This Row],[GroupByKey]])*DiscreteStatsTable[Minimum]))</f>
        <v>0</v>
      </c>
      <c r="U5">
        <f t="array" ref="U5">MAX(IF((DiscreteStatsTable[GroupByKey]=DiscreteStatsTable[[#This Row],[GroupByKey]]),(DiscreteStatsTable[GroupByKey]=DiscreteStatsTable[[#This Row],[GroupByKey]])*DiscreteStatsTable[Maximum]))</f>
        <v>8.1567470519244107</v>
      </c>
      <c r="V5">
        <f t="array" ref="V5">IFERROR(AVERAGE(IF((DiscreteStatsTable[GroupByKey]=DiscreteStatsTable[[#This Row],[GroupByKey]]),(DiscreteStatsTable[GroupByKey]=DiscreteStatsTable[[#This Row],[GroupByKey]])*DiscreteStatsTable[NumberObservations])),0)</f>
        <v>683</v>
      </c>
      <c r="W5">
        <f>IF((DiscreteStatsTable[[#This Row],[RepsRequested]]&gt;1),DiscreteStatsTable[[#This Row],[HalfWidth]],DiscreteStatsTable[[#This Row],[BatchMeansHalfWidth]])</f>
        <v>0.27758609018687203</v>
      </c>
      <c r="X5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70</v>
      </c>
      <c r="C6">
        <v>1</v>
      </c>
      <c r="D6" t="s">
        <v>79</v>
      </c>
      <c r="E6" t="s">
        <v>76</v>
      </c>
      <c r="F6" t="s">
        <v>77</v>
      </c>
      <c r="G6">
        <v>0</v>
      </c>
      <c r="H6">
        <v>0</v>
      </c>
      <c r="I6">
        <v>0</v>
      </c>
      <c r="J6">
        <v>0</v>
      </c>
      <c r="K6">
        <v>429</v>
      </c>
      <c r="L6" t="str">
        <f>DiscreteStatsTable[[#This Row],[ProjectName]]&amp;DiscreteStatsTable[[#This Row],[Name]]&amp;DiscreteStatsTable[[#This Row],[Type]]&amp;DiscreteStatsTable[[#This Row],[Source]]</f>
        <v>Unnamed ProjectMachine M3.QueueWaiting TimeQueue</v>
      </c>
      <c r="M6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>
        <f t="array" ref="R6">MIN(IF((DiscreteStatsTable[GroupByKey]=DiscreteStatsTable[[#This Row],[GroupByKey]]),(DiscreteStatsTable[GroupByKey]=DiscreteStatsTable[[#This Row],[GroupByKey]])*DiscreteStatsTable[Average]))</f>
        <v>0</v>
      </c>
      <c r="S6">
        <f t="array" ref="S6">MAX(IF((DiscreteStatsTable[GroupByKey]=DiscreteStatsTable[[#This Row],[GroupByKey]]),(DiscreteStatsTable[GroupByKey]=DiscreteStatsTable[[#This Row],[GroupByKey]])*DiscreteStatsTable[Average]))</f>
        <v>0</v>
      </c>
      <c r="T6">
        <f t="array" ref="T6">MIN(IF((DiscreteStatsTable[GroupByKey]=DiscreteStatsTable[[#This Row],[GroupByKey]]),(DiscreteStatsTable[GroupByKey]=DiscreteStatsTable[[#This Row],[GroupByKey]])*DiscreteStatsTable[Minimum]))</f>
        <v>0</v>
      </c>
      <c r="U6">
        <f t="array" ref="U6">MAX(IF((DiscreteStatsTable[GroupByKey]=DiscreteStatsTable[[#This Row],[GroupByKey]]),(DiscreteStatsTable[GroupByKey]=DiscreteStatsTable[[#This Row],[GroupByKey]])*DiscreteStatsTable[Maximum]))</f>
        <v>0</v>
      </c>
      <c r="V6">
        <f t="array" ref="V6">IFERROR(AVERAGE(IF((DiscreteStatsTable[GroupByKey]=DiscreteStatsTable[[#This Row],[GroupByKey]]),(DiscreteStatsTable[GroupByKey]=DiscreteStatsTable[[#This Row],[GroupByKey]])*DiscreteStatsTable[NumberObservations])),0)</f>
        <v>429</v>
      </c>
      <c r="W6">
        <f>IF((DiscreteStatsTable[[#This Row],[RepsRequested]]&gt;1),DiscreteStatsTable[[#This Row],[HalfWidth]],DiscreteStatsTable[[#This Row],[BatchMeansHalfWidth]])</f>
        <v>0</v>
      </c>
      <c r="X6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70</v>
      </c>
      <c r="C7">
        <v>1</v>
      </c>
      <c r="D7" t="s">
        <v>80</v>
      </c>
      <c r="E7" t="s">
        <v>81</v>
      </c>
      <c r="F7" t="s">
        <v>82</v>
      </c>
      <c r="G7">
        <v>0</v>
      </c>
      <c r="H7">
        <v>0</v>
      </c>
      <c r="I7">
        <v>0</v>
      </c>
      <c r="J7">
        <v>0</v>
      </c>
      <c r="K7">
        <v>1111</v>
      </c>
      <c r="L7" t="str">
        <f>DiscreteStatsTable[[#This Row],[ProjectName]]&amp;DiscreteStatsTable[[#This Row],[Name]]&amp;DiscreteStatsTable[[#This Row],[Type]]&amp;DiscreteStatsTable[[#This Row],[Source]]</f>
        <v>Unnamed ProjectP1NVA TimeEntity</v>
      </c>
      <c r="M7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>
        <f t="array" ref="R7">MIN(IF((DiscreteStatsTable[GroupByKey]=DiscreteStatsTable[[#This Row],[GroupByKey]]),(DiscreteStatsTable[GroupByKey]=DiscreteStatsTable[[#This Row],[GroupByKey]])*DiscreteStatsTable[Average]))</f>
        <v>0</v>
      </c>
      <c r="S7">
        <f t="array" ref="S7">MAX(IF((DiscreteStatsTable[GroupByKey]=DiscreteStatsTable[[#This Row],[GroupByKey]]),(DiscreteStatsTable[GroupByKey]=DiscreteStatsTable[[#This Row],[GroupByKey]])*DiscreteStatsTable[Average]))</f>
        <v>0</v>
      </c>
      <c r="T7">
        <f t="array" ref="T7">MIN(IF((DiscreteStatsTable[GroupByKey]=DiscreteStatsTable[[#This Row],[GroupByKey]]),(DiscreteStatsTable[GroupByKey]=DiscreteStatsTable[[#This Row],[GroupByKey]])*DiscreteStatsTable[Minimum]))</f>
        <v>0</v>
      </c>
      <c r="U7">
        <f t="array" ref="U7">MAX(IF((DiscreteStatsTable[GroupByKey]=DiscreteStatsTable[[#This Row],[GroupByKey]]),(DiscreteStatsTable[GroupByKey]=DiscreteStatsTable[[#This Row],[GroupByKey]])*DiscreteStatsTable[Maximum]))</f>
        <v>0</v>
      </c>
      <c r="V7">
        <f t="array" ref="V7">IFERROR(AVERAGE(IF((DiscreteStatsTable[GroupByKey]=DiscreteStatsTable[[#This Row],[GroupByKey]]),(DiscreteStatsTable[GroupByKey]=DiscreteStatsTable[[#This Row],[GroupByKey]])*DiscreteStatsTable[NumberObservations])),0)</f>
        <v>1111</v>
      </c>
      <c r="W7">
        <f>IF((DiscreteStatsTable[[#This Row],[RepsRequested]]&gt;1),DiscreteStatsTable[[#This Row],[HalfWidth]],DiscreteStatsTable[[#This Row],[BatchMeansHalfWidth]])</f>
        <v>0</v>
      </c>
      <c r="X7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70</v>
      </c>
      <c r="C8">
        <v>1</v>
      </c>
      <c r="D8" t="s">
        <v>80</v>
      </c>
      <c r="E8" t="s">
        <v>83</v>
      </c>
      <c r="F8" t="s">
        <v>82</v>
      </c>
      <c r="G8">
        <v>0</v>
      </c>
      <c r="H8">
        <v>0</v>
      </c>
      <c r="I8">
        <v>0</v>
      </c>
      <c r="J8">
        <v>0</v>
      </c>
      <c r="K8">
        <v>1111</v>
      </c>
      <c r="L8" t="str">
        <f>DiscreteStatsTable[[#This Row],[ProjectName]]&amp;DiscreteStatsTable[[#This Row],[Name]]&amp;DiscreteStatsTable[[#This Row],[Type]]&amp;DiscreteStatsTable[[#This Row],[Source]]</f>
        <v>Unnamed ProjectP1Other TimeEntity</v>
      </c>
      <c r="M8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>
        <f t="array" ref="R8">MIN(IF((DiscreteStatsTable[GroupByKey]=DiscreteStatsTable[[#This Row],[GroupByKey]]),(DiscreteStatsTable[GroupByKey]=DiscreteStatsTable[[#This Row],[GroupByKey]])*DiscreteStatsTable[Average]))</f>
        <v>0</v>
      </c>
      <c r="S8">
        <f t="array" ref="S8">MAX(IF((DiscreteStatsTable[GroupByKey]=DiscreteStatsTable[[#This Row],[GroupByKey]]),(DiscreteStatsTable[GroupByKey]=DiscreteStatsTable[[#This Row],[GroupByKey]])*DiscreteStatsTable[Average]))</f>
        <v>0</v>
      </c>
      <c r="T8">
        <f t="array" ref="T8">MIN(IF((DiscreteStatsTable[GroupByKey]=DiscreteStatsTable[[#This Row],[GroupByKey]]),(DiscreteStatsTable[GroupByKey]=DiscreteStatsTable[[#This Row],[GroupByKey]])*DiscreteStatsTable[Minimum]))</f>
        <v>0</v>
      </c>
      <c r="U8">
        <f t="array" ref="U8">MAX(IF((DiscreteStatsTable[GroupByKey]=DiscreteStatsTable[[#This Row],[GroupByKey]]),(DiscreteStatsTable[GroupByKey]=DiscreteStatsTable[[#This Row],[GroupByKey]])*DiscreteStatsTable[Maximum]))</f>
        <v>0</v>
      </c>
      <c r="V8">
        <f t="array" ref="V8">IFERROR(AVERAGE(IF((DiscreteStatsTable[GroupByKey]=DiscreteStatsTable[[#This Row],[GroupByKey]]),(DiscreteStatsTable[GroupByKey]=DiscreteStatsTable[[#This Row],[GroupByKey]])*DiscreteStatsTable[NumberObservations])),0)</f>
        <v>1111</v>
      </c>
      <c r="W8">
        <f>IF((DiscreteStatsTable[[#This Row],[RepsRequested]]&gt;1),DiscreteStatsTable[[#This Row],[HalfWidth]],DiscreteStatsTable[[#This Row],[BatchMeansHalfWidth]])</f>
        <v>0</v>
      </c>
      <c r="X8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67</v>
      </c>
      <c r="B9" t="s">
        <v>70</v>
      </c>
      <c r="C9">
        <v>1</v>
      </c>
      <c r="D9" t="s">
        <v>80</v>
      </c>
      <c r="E9" t="s">
        <v>84</v>
      </c>
      <c r="F9" t="s">
        <v>82</v>
      </c>
      <c r="G9">
        <v>9.6233068285751404</v>
      </c>
      <c r="H9">
        <v>0.200604231760941</v>
      </c>
      <c r="I9">
        <v>8</v>
      </c>
      <c r="J9">
        <v>17.9516003122285</v>
      </c>
      <c r="K9">
        <v>1111</v>
      </c>
      <c r="L9" t="str">
        <f>DiscreteStatsTable[[#This Row],[ProjectName]]&amp;DiscreteStatsTable[[#This Row],[Name]]&amp;DiscreteStatsTable[[#This Row],[Type]]&amp;DiscreteStatsTable[[#This Row],[Source]]</f>
        <v>Unnamed ProjectP1Total TimeEntity</v>
      </c>
      <c r="M9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>
        <f t="array" ref="N9">IFERROR(AVERAGE(IF((DiscreteStatsTable[GroupByKey]=DiscreteStatsTable[[#This Row],[GroupByKey]]),(DiscreteStatsTable[GroupByKey]=DiscreteStatsTable[[#This Row],[GroupByKey]])*DiscreteStatsTable[Average])),0)</f>
        <v>9.6233068285751404</v>
      </c>
      <c r="O9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>
        <f t="array" ref="R9">MIN(IF((DiscreteStatsTable[GroupByKey]=DiscreteStatsTable[[#This Row],[GroupByKey]]),(DiscreteStatsTable[GroupByKey]=DiscreteStatsTable[[#This Row],[GroupByKey]])*DiscreteStatsTable[Average]))</f>
        <v>9.6233068285751404</v>
      </c>
      <c r="S9">
        <f t="array" ref="S9">MAX(IF((DiscreteStatsTable[GroupByKey]=DiscreteStatsTable[[#This Row],[GroupByKey]]),(DiscreteStatsTable[GroupByKey]=DiscreteStatsTable[[#This Row],[GroupByKey]])*DiscreteStatsTable[Average]))</f>
        <v>9.6233068285751404</v>
      </c>
      <c r="T9">
        <f t="array" ref="T9">MIN(IF((DiscreteStatsTable[GroupByKey]=DiscreteStatsTable[[#This Row],[GroupByKey]]),(DiscreteStatsTable[GroupByKey]=DiscreteStatsTable[[#This Row],[GroupByKey]])*DiscreteStatsTable[Minimum]))</f>
        <v>8</v>
      </c>
      <c r="U9">
        <f t="array" ref="U9">MAX(IF((DiscreteStatsTable[GroupByKey]=DiscreteStatsTable[[#This Row],[GroupByKey]]),(DiscreteStatsTable[GroupByKey]=DiscreteStatsTable[[#This Row],[GroupByKey]])*DiscreteStatsTable[Maximum]))</f>
        <v>17.9516003122285</v>
      </c>
      <c r="V9">
        <f t="array" ref="V9">IFERROR(AVERAGE(IF((DiscreteStatsTable[GroupByKey]=DiscreteStatsTable[[#This Row],[GroupByKey]]),(DiscreteStatsTable[GroupByKey]=DiscreteStatsTable[[#This Row],[GroupByKey]])*DiscreteStatsTable[NumberObservations])),0)</f>
        <v>1111</v>
      </c>
      <c r="W9">
        <f>IF((DiscreteStatsTable[[#This Row],[RepsRequested]]&gt;1),DiscreteStatsTable[[#This Row],[HalfWidth]],DiscreteStatsTable[[#This Row],[BatchMeansHalfWidth]])</f>
        <v>0.200604231760941</v>
      </c>
      <c r="X9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67</v>
      </c>
      <c r="B10" t="s">
        <v>70</v>
      </c>
      <c r="C10">
        <v>1</v>
      </c>
      <c r="D10" t="s">
        <v>80</v>
      </c>
      <c r="E10" t="s">
        <v>85</v>
      </c>
      <c r="F10" t="s">
        <v>82</v>
      </c>
      <c r="G10">
        <v>0</v>
      </c>
      <c r="H10">
        <v>0</v>
      </c>
      <c r="I10">
        <v>0</v>
      </c>
      <c r="J10">
        <v>0</v>
      </c>
      <c r="K10">
        <v>1111</v>
      </c>
      <c r="L10" t="str">
        <f>DiscreteStatsTable[[#This Row],[ProjectName]]&amp;DiscreteStatsTable[[#This Row],[Name]]&amp;DiscreteStatsTable[[#This Row],[Type]]&amp;DiscreteStatsTable[[#This Row],[Source]]</f>
        <v>Unnamed ProjectP1Transfer TimeEntity</v>
      </c>
      <c r="M10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>
        <f t="array" ref="R10">MIN(IF((DiscreteStatsTable[GroupByKey]=DiscreteStatsTable[[#This Row],[GroupByKey]]),(DiscreteStatsTable[GroupByKey]=DiscreteStatsTable[[#This Row],[GroupByKey]])*DiscreteStatsTable[Average]))</f>
        <v>0</v>
      </c>
      <c r="S10">
        <f t="array" ref="S10">MAX(IF((DiscreteStatsTable[GroupByKey]=DiscreteStatsTable[[#This Row],[GroupByKey]]),(DiscreteStatsTable[GroupByKey]=DiscreteStatsTable[[#This Row],[GroupByKey]])*DiscreteStatsTable[Average]))</f>
        <v>0</v>
      </c>
      <c r="T10">
        <f t="array" ref="T10">MIN(IF((DiscreteStatsTable[GroupByKey]=DiscreteStatsTable[[#This Row],[GroupByKey]]),(DiscreteStatsTable[GroupByKey]=DiscreteStatsTable[[#This Row],[GroupByKey]])*DiscreteStatsTable[Minimum]))</f>
        <v>0</v>
      </c>
      <c r="U10">
        <f t="array" ref="U10">MAX(IF((DiscreteStatsTable[GroupByKey]=DiscreteStatsTable[[#This Row],[GroupByKey]]),(DiscreteStatsTable[GroupByKey]=DiscreteStatsTable[[#This Row],[GroupByKey]])*DiscreteStatsTable[Maximum]))</f>
        <v>0</v>
      </c>
      <c r="V10">
        <f t="array" ref="V10">IFERROR(AVERAGE(IF((DiscreteStatsTable[GroupByKey]=DiscreteStatsTable[[#This Row],[GroupByKey]]),(DiscreteStatsTable[GroupByKey]=DiscreteStatsTable[[#This Row],[GroupByKey]])*DiscreteStatsTable[NumberObservations])),0)</f>
        <v>1111</v>
      </c>
      <c r="W10">
        <f>IF((DiscreteStatsTable[[#This Row],[RepsRequested]]&gt;1),DiscreteStatsTable[[#This Row],[HalfWidth]],DiscreteStatsTable[[#This Row],[BatchMeansHalfWidth]])</f>
        <v>0</v>
      </c>
      <c r="X10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67</v>
      </c>
      <c r="B11" t="s">
        <v>70</v>
      </c>
      <c r="C11">
        <v>1</v>
      </c>
      <c r="D11" t="s">
        <v>80</v>
      </c>
      <c r="E11" t="s">
        <v>86</v>
      </c>
      <c r="F11" t="s">
        <v>82</v>
      </c>
      <c r="G11">
        <v>8.6147614761476099</v>
      </c>
      <c r="H11">
        <v>2.4031672992494299E-2</v>
      </c>
      <c r="I11">
        <v>7.9999999999995497</v>
      </c>
      <c r="J11">
        <v>9.0000000000000302</v>
      </c>
      <c r="K11">
        <v>1111</v>
      </c>
      <c r="L11" t="str">
        <f>DiscreteStatsTable[[#This Row],[ProjectName]]&amp;DiscreteStatsTable[[#This Row],[Name]]&amp;DiscreteStatsTable[[#This Row],[Type]]&amp;DiscreteStatsTable[[#This Row],[Source]]</f>
        <v>Unnamed ProjectP1VA TimeEntity</v>
      </c>
      <c r="M1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>
        <f t="array" ref="N11">IFERROR(AVERAGE(IF((DiscreteStatsTable[GroupByKey]=DiscreteStatsTable[[#This Row],[GroupByKey]]),(DiscreteStatsTable[GroupByKey]=DiscreteStatsTable[[#This Row],[GroupByKey]])*DiscreteStatsTable[Average])),0)</f>
        <v>8.6147614761476099</v>
      </c>
      <c r="O1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>
        <f t="array" ref="R11">MIN(IF((DiscreteStatsTable[GroupByKey]=DiscreteStatsTable[[#This Row],[GroupByKey]]),(DiscreteStatsTable[GroupByKey]=DiscreteStatsTable[[#This Row],[GroupByKey]])*DiscreteStatsTable[Average]))</f>
        <v>8.6147614761476099</v>
      </c>
      <c r="S11">
        <f t="array" ref="S11">MAX(IF((DiscreteStatsTable[GroupByKey]=DiscreteStatsTable[[#This Row],[GroupByKey]]),(DiscreteStatsTable[GroupByKey]=DiscreteStatsTable[[#This Row],[GroupByKey]])*DiscreteStatsTable[Average]))</f>
        <v>8.6147614761476099</v>
      </c>
      <c r="T11">
        <f t="array" ref="T11">MIN(IF((DiscreteStatsTable[GroupByKey]=DiscreteStatsTable[[#This Row],[GroupByKey]]),(DiscreteStatsTable[GroupByKey]=DiscreteStatsTable[[#This Row],[GroupByKey]])*DiscreteStatsTable[Minimum]))</f>
        <v>7.9999999999995497</v>
      </c>
      <c r="U11">
        <f t="array" ref="U11">MAX(IF((DiscreteStatsTable[GroupByKey]=DiscreteStatsTable[[#This Row],[GroupByKey]]),(DiscreteStatsTable[GroupByKey]=DiscreteStatsTable[[#This Row],[GroupByKey]])*DiscreteStatsTable[Maximum]))</f>
        <v>9.0000000000000302</v>
      </c>
      <c r="V11">
        <f t="array" ref="V11">IFERROR(AVERAGE(IF((DiscreteStatsTable[GroupByKey]=DiscreteStatsTable[[#This Row],[GroupByKey]]),(DiscreteStatsTable[GroupByKey]=DiscreteStatsTable[[#This Row],[GroupByKey]])*DiscreteStatsTable[NumberObservations])),0)</f>
        <v>1111</v>
      </c>
      <c r="W11">
        <f>IF((DiscreteStatsTable[[#This Row],[RepsRequested]]&gt;1),DiscreteStatsTable[[#This Row],[HalfWidth]],DiscreteStatsTable[[#This Row],[BatchMeansHalfWidth]])</f>
        <v>2.4031672992494299E-2</v>
      </c>
      <c r="X1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>
        <f>IF(DiscreteStatsTable[[#This Row],[RepsRequested]]=DiscreteStatsTable[[#This Row],[RepsWithStatObserved]],1,0)</f>
        <v>1</v>
      </c>
    </row>
    <row r="12" spans="1:25" x14ac:dyDescent="0.25">
      <c r="A12" t="s">
        <v>67</v>
      </c>
      <c r="B12" t="s">
        <v>70</v>
      </c>
      <c r="C12">
        <v>1</v>
      </c>
      <c r="D12" t="s">
        <v>80</v>
      </c>
      <c r="E12" t="s">
        <v>87</v>
      </c>
      <c r="F12" t="s">
        <v>82</v>
      </c>
      <c r="G12">
        <v>1.0085453524275301</v>
      </c>
      <c r="H12">
        <v>0.18853051164142401</v>
      </c>
      <c r="I12">
        <v>0</v>
      </c>
      <c r="J12">
        <v>8.9516003122284893</v>
      </c>
      <c r="K12">
        <v>1111</v>
      </c>
      <c r="L12" t="str">
        <f>DiscreteStatsTable[[#This Row],[ProjectName]]&amp;DiscreteStatsTable[[#This Row],[Name]]&amp;DiscreteStatsTable[[#This Row],[Type]]&amp;DiscreteStatsTable[[#This Row],[Source]]</f>
        <v>Unnamed ProjectP1Wait TimeEntity</v>
      </c>
      <c r="M12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>
        <f t="array" ref="N12">IFERROR(AVERAGE(IF((DiscreteStatsTable[GroupByKey]=DiscreteStatsTable[[#This Row],[GroupByKey]]),(DiscreteStatsTable[GroupByKey]=DiscreteStatsTable[[#This Row],[GroupByKey]])*DiscreteStatsTable[Average])),0)</f>
        <v>1.0085453524275301</v>
      </c>
      <c r="O12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>
        <f t="array" ref="R12">MIN(IF((DiscreteStatsTable[GroupByKey]=DiscreteStatsTable[[#This Row],[GroupByKey]]),(DiscreteStatsTable[GroupByKey]=DiscreteStatsTable[[#This Row],[GroupByKey]])*DiscreteStatsTable[Average]))</f>
        <v>1.0085453524275301</v>
      </c>
      <c r="S12">
        <f t="array" ref="S12">MAX(IF((DiscreteStatsTable[GroupByKey]=DiscreteStatsTable[[#This Row],[GroupByKey]]),(DiscreteStatsTable[GroupByKey]=DiscreteStatsTable[[#This Row],[GroupByKey]])*DiscreteStatsTable[Average]))</f>
        <v>1.0085453524275301</v>
      </c>
      <c r="T12">
        <f t="array" ref="T12">MIN(IF((DiscreteStatsTable[GroupByKey]=DiscreteStatsTable[[#This Row],[GroupByKey]]),(DiscreteStatsTable[GroupByKey]=DiscreteStatsTable[[#This Row],[GroupByKey]])*DiscreteStatsTable[Minimum]))</f>
        <v>0</v>
      </c>
      <c r="U12">
        <f t="array" ref="U12">MAX(IF((DiscreteStatsTable[GroupByKey]=DiscreteStatsTable[[#This Row],[GroupByKey]]),(DiscreteStatsTable[GroupByKey]=DiscreteStatsTable[[#This Row],[GroupByKey]])*DiscreteStatsTable[Maximum]))</f>
        <v>8.9516003122284893</v>
      </c>
      <c r="V12">
        <f t="array" ref="V12">IFERROR(AVERAGE(IF((DiscreteStatsTable[GroupByKey]=DiscreteStatsTable[[#This Row],[GroupByKey]]),(DiscreteStatsTable[GroupByKey]=DiscreteStatsTable[[#This Row],[GroupByKey]])*DiscreteStatsTable[NumberObservations])),0)</f>
        <v>1111</v>
      </c>
      <c r="W12">
        <f>IF((DiscreteStatsTable[[#This Row],[RepsRequested]]&gt;1),DiscreteStatsTable[[#This Row],[HalfWidth]],DiscreteStatsTable[[#This Row],[BatchMeansHalfWidth]])</f>
        <v>0.18853051164142401</v>
      </c>
      <c r="X12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>
        <f>IF(DiscreteStatsTable[[#This Row],[RepsRequested]]=DiscreteStatsTable[[#This Row],[RepsWithStatObserved]],1,0)</f>
        <v>1</v>
      </c>
    </row>
  </sheetData>
  <phoneticPr fontId="2" type="noConversion"/>
  <conditionalFormatting sqref="H2:H12 Q2:Q12">
    <cfRule type="expression" dxfId="20" priority="23">
      <formula>H2=200000000000000000000</formula>
    </cfRule>
  </conditionalFormatting>
  <conditionalFormatting sqref="H2:H12">
    <cfRule type="expression" dxfId="19" priority="21">
      <formula>H2=300000000000000000000</formula>
    </cfRule>
  </conditionalFormatting>
  <conditionalFormatting sqref="L2:Y12">
    <cfRule type="expression" dxfId="18" priority="19">
      <formula>MOD(ROW(),2)=0</formula>
    </cfRule>
  </conditionalFormatting>
  <conditionalFormatting sqref="Y2:Y12">
    <cfRule type="expression" dxfId="17" priority="14">
      <formula>Y2=0</formula>
    </cfRule>
    <cfRule type="expression" dxfId="16" priority="16">
      <formula>Y2=1</formula>
    </cfRule>
  </conditionalFormatting>
  <conditionalFormatting sqref="Y3:Y12">
    <cfRule type="expression" dxfId="15" priority="15">
      <formula>Y3=1</formula>
    </cfRule>
  </conditionalFormatting>
  <conditionalFormatting sqref="W2:W12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12 W2:W12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4"/>
  <sheetViews>
    <sheetView workbookViewId="0">
      <selection activeCell="A2" sqref="A2:L1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18.570312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55.710937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70</v>
      </c>
      <c r="C2">
        <v>1</v>
      </c>
      <c r="D2" t="s">
        <v>88</v>
      </c>
      <c r="E2" t="s">
        <v>89</v>
      </c>
      <c r="F2" t="s">
        <v>90</v>
      </c>
      <c r="G2">
        <v>0.88961242052726197</v>
      </c>
      <c r="H2">
        <v>8.1086015706751807E-3</v>
      </c>
      <c r="I2">
        <v>0</v>
      </c>
      <c r="J2">
        <v>1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ProjectM1Instantaneous UtilizationResource</v>
      </c>
      <c r="N2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>
        <f t="array" ref="O2">IFERROR(AVERAGE(IF((ContinuousStatsTable[GroupByKey]=ContinuousStatsTable[[#This Row],[GroupByKey]]),(ContinuousStatsTable[GroupByKey]=ContinuousStatsTable[[#This Row],[GroupByKey]])*ContinuousStatsTable[Average])),0)</f>
        <v>0.88961242052726197</v>
      </c>
      <c r="P2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>
        <f t="array" ref="S2">MIN(IF((ContinuousStatsTable[GroupByKey]=ContinuousStatsTable[[#This Row],[GroupByKey]]),(ContinuousStatsTable[GroupByKey]=ContinuousStatsTable[[#This Row],[GroupByKey]])*ContinuousStatsTable[Average]))</f>
        <v>0.88961242052726197</v>
      </c>
      <c r="T2">
        <f t="array" ref="T2">MAX(IF((ContinuousStatsTable[GroupByKey]=ContinuousStatsTable[[#This Row],[GroupByKey]]),(ContinuousStatsTable[GroupByKey]=ContinuousStatsTable[[#This Row],[GroupByKey]])*ContinuousStatsTable[Average]))</f>
        <v>0.88961242052726197</v>
      </c>
      <c r="U2">
        <f>IF((ContinuousStatsTable[[#This Row],[RepsRequested]]&gt;1),ContinuousStatsTable[[#This Row],[HalfWidth]],ContinuousStatsTable[[#This Row],[BatchMeansHalfWidth]])</f>
        <v>8.1086015706751807E-3</v>
      </c>
    </row>
    <row r="3" spans="1:21" x14ac:dyDescent="0.25">
      <c r="A3" t="s">
        <v>67</v>
      </c>
      <c r="B3" t="s">
        <v>70</v>
      </c>
      <c r="C3">
        <v>1</v>
      </c>
      <c r="D3" t="s">
        <v>88</v>
      </c>
      <c r="E3" t="s">
        <v>91</v>
      </c>
      <c r="F3" t="s">
        <v>90</v>
      </c>
      <c r="G3">
        <v>0.88961242052726197</v>
      </c>
      <c r="H3">
        <v>8.1086015706751807E-3</v>
      </c>
      <c r="I3">
        <v>0</v>
      </c>
      <c r="J3">
        <v>1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ProjectM1Number BusyResource</v>
      </c>
      <c r="N3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>
        <f t="array" ref="O3">IFERROR(AVERAGE(IF((ContinuousStatsTable[GroupByKey]=ContinuousStatsTable[[#This Row],[GroupByKey]]),(ContinuousStatsTable[GroupByKey]=ContinuousStatsTable[[#This Row],[GroupByKey]])*ContinuousStatsTable[Average])),0)</f>
        <v>0.88961242052726197</v>
      </c>
      <c r="P3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>
        <f t="array" ref="S3">MIN(IF((ContinuousStatsTable[GroupByKey]=ContinuousStatsTable[[#This Row],[GroupByKey]]),(ContinuousStatsTable[GroupByKey]=ContinuousStatsTable[[#This Row],[GroupByKey]])*ContinuousStatsTable[Average]))</f>
        <v>0.88961242052726197</v>
      </c>
      <c r="T3">
        <f t="array" ref="T3">MAX(IF((ContinuousStatsTable[GroupByKey]=ContinuousStatsTable[[#This Row],[GroupByKey]]),(ContinuousStatsTable[GroupByKey]=ContinuousStatsTable[[#This Row],[GroupByKey]])*ContinuousStatsTable[Average]))</f>
        <v>0.88961242052726197</v>
      </c>
      <c r="U3">
        <f>IF((ContinuousStatsTable[[#This Row],[RepsRequested]]&gt;1),ContinuousStatsTable[[#This Row],[HalfWidth]],ContinuousStatsTable[[#This Row],[BatchMeansHalfWidth]])</f>
        <v>8.1086015706751807E-3</v>
      </c>
    </row>
    <row r="4" spans="1:21" x14ac:dyDescent="0.25">
      <c r="A4" t="s">
        <v>67</v>
      </c>
      <c r="B4" t="s">
        <v>70</v>
      </c>
      <c r="C4">
        <v>1</v>
      </c>
      <c r="D4" t="s">
        <v>88</v>
      </c>
      <c r="E4" t="s">
        <v>92</v>
      </c>
      <c r="F4" t="s">
        <v>90</v>
      </c>
      <c r="G4">
        <v>1</v>
      </c>
      <c r="H4">
        <v>2E+20</v>
      </c>
      <c r="I4">
        <v>1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ProjectM1Number ScheduledResource</v>
      </c>
      <c r="N4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>
        <f t="array" ref="O4">IFERROR(AVERAGE(IF((ContinuousStatsTable[GroupByKey]=ContinuousStatsTable[[#This Row],[GroupByKey]]),(ContinuousStatsTable[GroupByKey]=ContinuousStatsTable[[#This Row],[GroupByKey]])*ContinuousStatsTable[Average])),0)</f>
        <v>1</v>
      </c>
      <c r="P4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>
        <f t="array" ref="S4">MIN(IF((ContinuousStatsTable[GroupByKey]=ContinuousStatsTable[[#This Row],[GroupByKey]]),(ContinuousStatsTable[GroupByKey]=ContinuousStatsTable[[#This Row],[GroupByKey]])*ContinuousStatsTable[Average]))</f>
        <v>1</v>
      </c>
      <c r="T4">
        <f t="array" ref="T4">MAX(IF((ContinuousStatsTable[GroupByKey]=ContinuousStatsTable[[#This Row],[GroupByKey]]),(ContinuousStatsTable[GroupByKey]=ContinuousStatsTable[[#This Row],[GroupByKey]])*ContinuousStatsTable[Average]))</f>
        <v>1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25">
      <c r="A5" t="s">
        <v>67</v>
      </c>
      <c r="B5" t="s">
        <v>70</v>
      </c>
      <c r="C5">
        <v>1</v>
      </c>
      <c r="D5" t="s">
        <v>93</v>
      </c>
      <c r="E5" t="s">
        <v>89</v>
      </c>
      <c r="F5" t="s">
        <v>90</v>
      </c>
      <c r="G5">
        <v>0.68300000000000005</v>
      </c>
      <c r="H5">
        <v>3.2734842760330798E-2</v>
      </c>
      <c r="I5">
        <v>0</v>
      </c>
      <c r="J5">
        <v>1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ProjectM2Instantaneous UtilizationResource</v>
      </c>
      <c r="N5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>
        <f t="array" ref="O5">IFERROR(AVERAGE(IF((ContinuousStatsTable[GroupByKey]=ContinuousStatsTable[[#This Row],[GroupByKey]]),(ContinuousStatsTable[GroupByKey]=ContinuousStatsTable[[#This Row],[GroupByKey]])*ContinuousStatsTable[Average])),0)</f>
        <v>0.68300000000000005</v>
      </c>
      <c r="P5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>
        <f t="array" ref="S5">MIN(IF((ContinuousStatsTable[GroupByKey]=ContinuousStatsTable[[#This Row],[GroupByKey]]),(ContinuousStatsTable[GroupByKey]=ContinuousStatsTable[[#This Row],[GroupByKey]])*ContinuousStatsTable[Average]))</f>
        <v>0.68300000000000005</v>
      </c>
      <c r="T5">
        <f t="array" ref="T5">MAX(IF((ContinuousStatsTable[GroupByKey]=ContinuousStatsTable[[#This Row],[GroupByKey]]),(ContinuousStatsTable[GroupByKey]=ContinuousStatsTable[[#This Row],[GroupByKey]])*ContinuousStatsTable[Average]))</f>
        <v>0.68300000000000005</v>
      </c>
      <c r="U5">
        <f>IF((ContinuousStatsTable[[#This Row],[RepsRequested]]&gt;1),ContinuousStatsTable[[#This Row],[HalfWidth]],ContinuousStatsTable[[#This Row],[BatchMeansHalfWidth]])</f>
        <v>3.2734842760330798E-2</v>
      </c>
    </row>
    <row r="6" spans="1:21" x14ac:dyDescent="0.25">
      <c r="A6" t="s">
        <v>67</v>
      </c>
      <c r="B6" t="s">
        <v>70</v>
      </c>
      <c r="C6">
        <v>1</v>
      </c>
      <c r="D6" t="s">
        <v>93</v>
      </c>
      <c r="E6" t="s">
        <v>91</v>
      </c>
      <c r="F6" t="s">
        <v>90</v>
      </c>
      <c r="G6">
        <v>0.68300000000000005</v>
      </c>
      <c r="H6">
        <v>3.2734842760330798E-2</v>
      </c>
      <c r="I6">
        <v>0</v>
      </c>
      <c r="J6">
        <v>1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ProjectM2Number BusyResource</v>
      </c>
      <c r="N6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>
        <f t="array" ref="O6">IFERROR(AVERAGE(IF((ContinuousStatsTable[GroupByKey]=ContinuousStatsTable[[#This Row],[GroupByKey]]),(ContinuousStatsTable[GroupByKey]=ContinuousStatsTable[[#This Row],[GroupByKey]])*ContinuousStatsTable[Average])),0)</f>
        <v>0.68300000000000005</v>
      </c>
      <c r="P6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>
        <f t="array" ref="S6">MIN(IF((ContinuousStatsTable[GroupByKey]=ContinuousStatsTable[[#This Row],[GroupByKey]]),(ContinuousStatsTable[GroupByKey]=ContinuousStatsTable[[#This Row],[GroupByKey]])*ContinuousStatsTable[Average]))</f>
        <v>0.68300000000000005</v>
      </c>
      <c r="T6">
        <f t="array" ref="T6">MAX(IF((ContinuousStatsTable[GroupByKey]=ContinuousStatsTable[[#This Row],[GroupByKey]]),(ContinuousStatsTable[GroupByKey]=ContinuousStatsTable[[#This Row],[GroupByKey]])*ContinuousStatsTable[Average]))</f>
        <v>0.68300000000000005</v>
      </c>
      <c r="U6">
        <f>IF((ContinuousStatsTable[[#This Row],[RepsRequested]]&gt;1),ContinuousStatsTable[[#This Row],[HalfWidth]],ContinuousStatsTable[[#This Row],[BatchMeansHalfWidth]])</f>
        <v>3.2734842760330798E-2</v>
      </c>
    </row>
    <row r="7" spans="1:21" x14ac:dyDescent="0.25">
      <c r="A7" t="s">
        <v>67</v>
      </c>
      <c r="B7" t="s">
        <v>70</v>
      </c>
      <c r="C7">
        <v>1</v>
      </c>
      <c r="D7" t="s">
        <v>93</v>
      </c>
      <c r="E7" t="s">
        <v>92</v>
      </c>
      <c r="F7" t="s">
        <v>90</v>
      </c>
      <c r="G7">
        <v>1</v>
      </c>
      <c r="H7">
        <v>2E+20</v>
      </c>
      <c r="I7">
        <v>1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ProjectM2Number ScheduledResource</v>
      </c>
      <c r="N7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>
        <f t="array" ref="O7">IFERROR(AVERAGE(IF((ContinuousStatsTable[GroupByKey]=ContinuousStatsTable[[#This Row],[GroupByKey]]),(ContinuousStatsTable[GroupByKey]=ContinuousStatsTable[[#This Row],[GroupByKey]])*ContinuousStatsTable[Average])),0)</f>
        <v>1</v>
      </c>
      <c r="P7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>
        <f t="array" ref="S7">MIN(IF((ContinuousStatsTable[GroupByKey]=ContinuousStatsTable[[#This Row],[GroupByKey]]),(ContinuousStatsTable[GroupByKey]=ContinuousStatsTable[[#This Row],[GroupByKey]])*ContinuousStatsTable[Average]))</f>
        <v>1</v>
      </c>
      <c r="T7">
        <f t="array" ref="T7">MAX(IF((ContinuousStatsTable[GroupByKey]=ContinuousStatsTable[[#This Row],[GroupByKey]]),(ContinuousStatsTable[GroupByKey]=ContinuousStatsTable[[#This Row],[GroupByKey]])*ContinuousStatsTable[Average]))</f>
        <v>1</v>
      </c>
      <c r="U7">
        <f>IF((ContinuousStatsTable[[#This Row],[RepsRequested]]&gt;1),ContinuousStatsTable[[#This Row],[HalfWidth]],ContinuousStatsTable[[#This Row],[BatchMeansHalfWidth]])</f>
        <v>2E+20</v>
      </c>
    </row>
    <row r="8" spans="1:21" x14ac:dyDescent="0.25">
      <c r="A8" t="s">
        <v>67</v>
      </c>
      <c r="B8" t="s">
        <v>70</v>
      </c>
      <c r="C8">
        <v>1</v>
      </c>
      <c r="D8" t="s">
        <v>94</v>
      </c>
      <c r="E8" t="s">
        <v>89</v>
      </c>
      <c r="F8" t="s">
        <v>90</v>
      </c>
      <c r="G8">
        <v>0.34241242052726301</v>
      </c>
      <c r="H8">
        <v>2.46181039115516E-2</v>
      </c>
      <c r="I8">
        <v>0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ProjectM3Instantaneous UtilizationResource</v>
      </c>
      <c r="N8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>
        <f t="array" ref="O8">IFERROR(AVERAGE(IF((ContinuousStatsTable[GroupByKey]=ContinuousStatsTable[[#This Row],[GroupByKey]]),(ContinuousStatsTable[GroupByKey]=ContinuousStatsTable[[#This Row],[GroupByKey]])*ContinuousStatsTable[Average])),0)</f>
        <v>0.34241242052726301</v>
      </c>
      <c r="P8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>
        <f t="array" ref="S8">MIN(IF((ContinuousStatsTable[GroupByKey]=ContinuousStatsTable[[#This Row],[GroupByKey]]),(ContinuousStatsTable[GroupByKey]=ContinuousStatsTable[[#This Row],[GroupByKey]])*ContinuousStatsTable[Average]))</f>
        <v>0.34241242052726301</v>
      </c>
      <c r="T8">
        <f t="array" ref="T8">MAX(IF((ContinuousStatsTable[GroupByKey]=ContinuousStatsTable[[#This Row],[GroupByKey]]),(ContinuousStatsTable[GroupByKey]=ContinuousStatsTable[[#This Row],[GroupByKey]])*ContinuousStatsTable[Average]))</f>
        <v>0.34241242052726301</v>
      </c>
      <c r="U8">
        <f>IF((ContinuousStatsTable[[#This Row],[RepsRequested]]&gt;1),ContinuousStatsTable[[#This Row],[HalfWidth]],ContinuousStatsTable[[#This Row],[BatchMeansHalfWidth]])</f>
        <v>2.46181039115516E-2</v>
      </c>
    </row>
    <row r="9" spans="1:21" x14ac:dyDescent="0.25">
      <c r="A9" t="s">
        <v>67</v>
      </c>
      <c r="B9" t="s">
        <v>70</v>
      </c>
      <c r="C9">
        <v>1</v>
      </c>
      <c r="D9" t="s">
        <v>94</v>
      </c>
      <c r="E9" t="s">
        <v>91</v>
      </c>
      <c r="F9" t="s">
        <v>90</v>
      </c>
      <c r="G9">
        <v>0.34241242052726301</v>
      </c>
      <c r="H9">
        <v>2.46181039115516E-2</v>
      </c>
      <c r="I9">
        <v>0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ProjectM3Number BusyResource</v>
      </c>
      <c r="N9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>
        <f t="array" ref="O9">IFERROR(AVERAGE(IF((ContinuousStatsTable[GroupByKey]=ContinuousStatsTable[[#This Row],[GroupByKey]]),(ContinuousStatsTable[GroupByKey]=ContinuousStatsTable[[#This Row],[GroupByKey]])*ContinuousStatsTable[Average])),0)</f>
        <v>0.34241242052726301</v>
      </c>
      <c r="P9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>
        <f t="array" ref="S9">MIN(IF((ContinuousStatsTable[GroupByKey]=ContinuousStatsTable[[#This Row],[GroupByKey]]),(ContinuousStatsTable[GroupByKey]=ContinuousStatsTable[[#This Row],[GroupByKey]])*ContinuousStatsTable[Average]))</f>
        <v>0.34241242052726301</v>
      </c>
      <c r="T9">
        <f t="array" ref="T9">MAX(IF((ContinuousStatsTable[GroupByKey]=ContinuousStatsTable[[#This Row],[GroupByKey]]),(ContinuousStatsTable[GroupByKey]=ContinuousStatsTable[[#This Row],[GroupByKey]])*ContinuousStatsTable[Average]))</f>
        <v>0.34241242052726301</v>
      </c>
      <c r="U9">
        <f>IF((ContinuousStatsTable[[#This Row],[RepsRequested]]&gt;1),ContinuousStatsTable[[#This Row],[HalfWidth]],ContinuousStatsTable[[#This Row],[BatchMeansHalfWidth]])</f>
        <v>2.46181039115516E-2</v>
      </c>
    </row>
    <row r="10" spans="1:21" x14ac:dyDescent="0.25">
      <c r="A10" t="s">
        <v>67</v>
      </c>
      <c r="B10" t="s">
        <v>70</v>
      </c>
      <c r="C10">
        <v>1</v>
      </c>
      <c r="D10" t="s">
        <v>94</v>
      </c>
      <c r="E10" t="s">
        <v>92</v>
      </c>
      <c r="F10" t="s">
        <v>90</v>
      </c>
      <c r="G10">
        <v>1</v>
      </c>
      <c r="H10">
        <v>2E+20</v>
      </c>
      <c r="I10">
        <v>1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ProjectM3Number ScheduledResource</v>
      </c>
      <c r="N10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>
        <f t="array" ref="O10">IFERROR(AVERAGE(IF((ContinuousStatsTable[GroupByKey]=ContinuousStatsTable[[#This Row],[GroupByKey]]),(ContinuousStatsTable[GroupByKey]=ContinuousStatsTable[[#This Row],[GroupByKey]])*ContinuousStatsTable[Average])),0)</f>
        <v>1</v>
      </c>
      <c r="P10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>
        <f t="array" ref="S10">MIN(IF((ContinuousStatsTable[GroupByKey]=ContinuousStatsTable[[#This Row],[GroupByKey]]),(ContinuousStatsTable[GroupByKey]=ContinuousStatsTable[[#This Row],[GroupByKey]])*ContinuousStatsTable[Average]))</f>
        <v>1</v>
      </c>
      <c r="T10">
        <f t="array" ref="T10">MAX(IF((ContinuousStatsTable[GroupByKey]=ContinuousStatsTable[[#This Row],[GroupByKey]]),(ContinuousStatsTable[GroupByKey]=ContinuousStatsTable[[#This Row],[GroupByKey]])*ContinuousStatsTable[Average]))</f>
        <v>1</v>
      </c>
      <c r="U10">
        <f>IF((ContinuousStatsTable[[#This Row],[RepsRequested]]&gt;1),ContinuousStatsTable[[#This Row],[HalfWidth]],ContinuousStatsTable[[#This Row],[BatchMeansHalfWidth]])</f>
        <v>2E+20</v>
      </c>
    </row>
    <row r="11" spans="1:21" x14ac:dyDescent="0.25">
      <c r="A11" t="s">
        <v>67</v>
      </c>
      <c r="B11" t="s">
        <v>70</v>
      </c>
      <c r="C11">
        <v>1</v>
      </c>
      <c r="D11" t="s">
        <v>75</v>
      </c>
      <c r="E11" t="s">
        <v>95</v>
      </c>
      <c r="F11" t="s">
        <v>77</v>
      </c>
      <c r="G11">
        <v>7.3277540443653297E-2</v>
      </c>
      <c r="H11">
        <v>1.35443616779402E-2</v>
      </c>
      <c r="I11">
        <v>0</v>
      </c>
      <c r="J11">
        <v>1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ProjectMachine M1.QueueNumber WaitingQueue</v>
      </c>
      <c r="N1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>
        <f t="array" ref="O11">IFERROR(AVERAGE(IF((ContinuousStatsTable[GroupByKey]=ContinuousStatsTable[[#This Row],[GroupByKey]]),(ContinuousStatsTable[GroupByKey]=ContinuousStatsTable[[#This Row],[GroupByKey]])*ContinuousStatsTable[Average])),0)</f>
        <v>7.3277540443653297E-2</v>
      </c>
      <c r="P1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>
        <f t="array" ref="S11">MIN(IF((ContinuousStatsTable[GroupByKey]=ContinuousStatsTable[[#This Row],[GroupByKey]]),(ContinuousStatsTable[GroupByKey]=ContinuousStatsTable[[#This Row],[GroupByKey]])*ContinuousStatsTable[Average]))</f>
        <v>7.3277540443653297E-2</v>
      </c>
      <c r="T11">
        <f t="array" ref="T11">MAX(IF((ContinuousStatsTable[GroupByKey]=ContinuousStatsTable[[#This Row],[GroupByKey]]),(ContinuousStatsTable[GroupByKey]=ContinuousStatsTable[[#This Row],[GroupByKey]])*ContinuousStatsTable[Average]))</f>
        <v>7.3277540443653297E-2</v>
      </c>
      <c r="U11">
        <f>IF((ContinuousStatsTable[[#This Row],[RepsRequested]]&gt;1),ContinuousStatsTable[[#This Row],[HalfWidth]],ContinuousStatsTable[[#This Row],[BatchMeansHalfWidth]])</f>
        <v>1.35443616779402E-2</v>
      </c>
    </row>
    <row r="12" spans="1:21" x14ac:dyDescent="0.25">
      <c r="A12" t="s">
        <v>67</v>
      </c>
      <c r="B12" t="s">
        <v>70</v>
      </c>
      <c r="C12">
        <v>1</v>
      </c>
      <c r="D12" t="s">
        <v>78</v>
      </c>
      <c r="E12" t="s">
        <v>95</v>
      </c>
      <c r="F12" t="s">
        <v>77</v>
      </c>
      <c r="G12">
        <v>0.151165861542538</v>
      </c>
      <c r="H12">
        <v>4.0837304441993898E-2</v>
      </c>
      <c r="I12">
        <v>0</v>
      </c>
      <c r="J12">
        <v>2</v>
      </c>
      <c r="K12">
        <v>0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ProjectMachine M2.QueueNumber WaitingQueue</v>
      </c>
      <c r="N12" s="5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 s="5">
        <f t="array" ref="O12">IFERROR(AVERAGE(IF((ContinuousStatsTable[GroupByKey]=ContinuousStatsTable[[#This Row],[GroupByKey]]),(ContinuousStatsTable[GroupByKey]=ContinuousStatsTable[[#This Row],[GroupByKey]])*ContinuousStatsTable[Average])),0)</f>
        <v>0.151165861542538</v>
      </c>
      <c r="P12" s="5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5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 s="5">
        <f t="array" ref="S12">MIN(IF((ContinuousStatsTable[GroupByKey]=ContinuousStatsTable[[#This Row],[GroupByKey]]),(ContinuousStatsTable[GroupByKey]=ContinuousStatsTable[[#This Row],[GroupByKey]])*ContinuousStatsTable[Average]))</f>
        <v>0.151165861542538</v>
      </c>
      <c r="T12" s="5">
        <f t="array" ref="T12">MAX(IF((ContinuousStatsTable[GroupByKey]=ContinuousStatsTable[[#This Row],[GroupByKey]]),(ContinuousStatsTable[GroupByKey]=ContinuousStatsTable[[#This Row],[GroupByKey]])*ContinuousStatsTable[Average]))</f>
        <v>0.151165861542538</v>
      </c>
      <c r="U12" s="5">
        <f>IF((ContinuousStatsTable[[#This Row],[RepsRequested]]&gt;1),ContinuousStatsTable[[#This Row],[HalfWidth]],ContinuousStatsTable[[#This Row],[BatchMeansHalfWidth]])</f>
        <v>4.0837304441993898E-2</v>
      </c>
    </row>
    <row r="13" spans="1:21" x14ac:dyDescent="0.25">
      <c r="A13" t="s">
        <v>67</v>
      </c>
      <c r="B13" t="s">
        <v>70</v>
      </c>
      <c r="C13">
        <v>1</v>
      </c>
      <c r="D13" t="s">
        <v>79</v>
      </c>
      <c r="E13" t="s">
        <v>95</v>
      </c>
      <c r="F13" t="s">
        <v>77</v>
      </c>
      <c r="G13">
        <v>0</v>
      </c>
      <c r="H13">
        <v>2E+20</v>
      </c>
      <c r="I13">
        <v>0</v>
      </c>
      <c r="J13">
        <v>0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ProjectMachine M3.QueueNumber WaitingQueue</v>
      </c>
      <c r="N13" s="5">
        <f t="array" ref="N13">MAX(IF((ProjectInfoTable[ProjectName]=ContinuousStatsTable[[#This Row],[ProjectName]]),(ProjectInfoTable[ProjectName]=ContinuousStatsTable[[#This Row],[ProjectName]])*ProjectInfoTable[NumberOfReplications]))</f>
        <v>1</v>
      </c>
      <c r="O13" s="5">
        <f t="array" ref="O13">IFERROR(AVERAGE(IF((ContinuousStatsTable[GroupByKey]=ContinuousStatsTable[[#This Row],[GroupByKey]]),(ContinuousStatsTable[GroupByKey]=ContinuousStatsTable[[#This Row],[GroupByKey]])*ContinuousStatsTable[Average])),0)</f>
        <v>0</v>
      </c>
      <c r="P13" s="5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3" s="5">
        <f t="array" ref="S13">MIN(IF((ContinuousStatsTable[GroupByKey]=ContinuousStatsTable[[#This Row],[GroupByKey]]),(ContinuousStatsTable[GroupByKey]=ContinuousStatsTable[[#This Row],[GroupByKey]])*ContinuousStatsTable[Average]))</f>
        <v>0</v>
      </c>
      <c r="T13" s="5">
        <f t="array" ref="T13">MAX(IF((ContinuousStatsTable[GroupByKey]=ContinuousStatsTable[[#This Row],[GroupByKey]]),(ContinuousStatsTable[GroupByKey]=ContinuousStatsTable[[#This Row],[GroupByKey]])*ContinuousStatsTable[Average]))</f>
        <v>0</v>
      </c>
      <c r="U13" s="5">
        <f>IF((ContinuousStatsTable[[#This Row],[RepsRequested]]&gt;1),ContinuousStatsTable[[#This Row],[HalfWidth]],ContinuousStatsTable[[#This Row],[BatchMeansHalfWidth]])</f>
        <v>2E+20</v>
      </c>
    </row>
    <row r="14" spans="1:21" x14ac:dyDescent="0.25">
      <c r="A14" t="s">
        <v>67</v>
      </c>
      <c r="B14" t="s">
        <v>70</v>
      </c>
      <c r="C14">
        <v>1</v>
      </c>
      <c r="D14" t="s">
        <v>80</v>
      </c>
      <c r="E14" t="s">
        <v>96</v>
      </c>
      <c r="F14" t="s">
        <v>82</v>
      </c>
      <c r="G14">
        <v>2.1394682430407199</v>
      </c>
      <c r="H14">
        <v>6.1825787628699197E-2</v>
      </c>
      <c r="I14">
        <v>0</v>
      </c>
      <c r="J14">
        <v>4</v>
      </c>
      <c r="K14">
        <v>2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ProjectP1WIPEntity</v>
      </c>
      <c r="N14" s="5">
        <f t="array" ref="N14">MAX(IF((ProjectInfoTable[ProjectName]=ContinuousStatsTable[[#This Row],[ProjectName]]),(ProjectInfoTable[ProjectName]=ContinuousStatsTable[[#This Row],[ProjectName]])*ProjectInfoTable[NumberOfReplications]))</f>
        <v>1</v>
      </c>
      <c r="O14" s="5">
        <f t="array" ref="O14">IFERROR(AVERAGE(IF((ContinuousStatsTable[GroupByKey]=ContinuousStatsTable[[#This Row],[GroupByKey]]),(ContinuousStatsTable[GroupByKey]=ContinuousStatsTable[[#This Row],[GroupByKey]])*ContinuousStatsTable[Average])),0)</f>
        <v>2.1394682430407199</v>
      </c>
      <c r="P14" s="5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4" s="5">
        <f t="array" ref="S14">MIN(IF((ContinuousStatsTable[GroupByKey]=ContinuousStatsTable[[#This Row],[GroupByKey]]),(ContinuousStatsTable[GroupByKey]=ContinuousStatsTable[[#This Row],[GroupByKey]])*ContinuousStatsTable[Average]))</f>
        <v>2.1394682430407199</v>
      </c>
      <c r="T14" s="5">
        <f t="array" ref="T14">MAX(IF((ContinuousStatsTable[GroupByKey]=ContinuousStatsTable[[#This Row],[GroupByKey]]),(ContinuousStatsTable[GroupByKey]=ContinuousStatsTable[[#This Row],[GroupByKey]])*ContinuousStatsTable[Average]))</f>
        <v>2.1394682430407199</v>
      </c>
      <c r="U14" s="5">
        <f>IF((ContinuousStatsTable[[#This Row],[RepsRequested]]&gt;1),ContinuousStatsTable[[#This Row],[HalfWidth]],ContinuousStatsTable[[#This Row],[BatchMeansHalfWidth]])</f>
        <v>6.1825787628699197E-2</v>
      </c>
    </row>
  </sheetData>
  <phoneticPr fontId="2" type="noConversion"/>
  <conditionalFormatting sqref="H2:H14">
    <cfRule type="expression" dxfId="11" priority="9">
      <formula>H2=200000000000000000000</formula>
    </cfRule>
  </conditionalFormatting>
  <conditionalFormatting sqref="H2:H14">
    <cfRule type="expression" dxfId="10" priority="7">
      <formula>H2=300000000000000000000</formula>
    </cfRule>
  </conditionalFormatting>
  <conditionalFormatting sqref="M2:U14">
    <cfRule type="expression" dxfId="9" priority="5">
      <formula>MOD(ROW(),2)=0</formula>
    </cfRule>
  </conditionalFormatting>
  <conditionalFormatting sqref="U2:U14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14 U2:U14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3"/>
  <sheetViews>
    <sheetView workbookViewId="0">
      <selection activeCell="G2" sqref="G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13.85546875" bestFit="1" customWidth="1"/>
    <col min="5" max="5" width="7.5703125" bestFit="1" customWidth="1"/>
    <col min="6" max="6" width="13.85546875" bestFit="1" customWidth="1"/>
    <col min="7" max="7" width="17" bestFit="1" customWidth="1"/>
    <col min="8" max="8" width="48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25">
      <c r="A2" t="s">
        <v>67</v>
      </c>
      <c r="B2" t="s">
        <v>70</v>
      </c>
      <c r="C2">
        <v>1</v>
      </c>
      <c r="D2" t="s">
        <v>97</v>
      </c>
      <c r="E2" t="s">
        <v>98</v>
      </c>
      <c r="F2" t="s">
        <v>73</v>
      </c>
      <c r="G2">
        <v>683</v>
      </c>
      <c r="H2" t="str">
        <f>CountersTable[[#This Row],[ProjectName]]&amp;CountersTable[[#This Row],[Name]]&amp;CountersTable[[#This Row],[Type]]&amp;CountersTable[[#This Row],[Source]]</f>
        <v>Unnamed ProjectNb P1 arriveesCountUser Specified</v>
      </c>
      <c r="I2">
        <f t="array" ref="I2">MAX(IF((ProjectInfoTable[ProjectName]=CountersTable[[#This Row],[ProjectName]]),(ProjectInfoTable[ProjectName]=CountersTable[[#This Row],[ProjectName]])*ProjectInfoTable[NumberOfReplications]))</f>
        <v>1</v>
      </c>
      <c r="J2">
        <f t="array" ref="J2">IFERROR(AVERAGE(IF((CountersTable[GroupByKey]=CountersTable[[#This Row],[GroupByKey]]),(CountersTable[GroupByKey]=CountersTable[[#This Row],[GroupByKey]])*CountersTable[RecordedValue])),0)</f>
        <v>683</v>
      </c>
      <c r="K2">
        <f t="array" ref="K2">IFERROR(_xlfn.STDEV.S(IF((CountersTable[GroupByKey]=CountersTable[[#This Row],[GroupByKey]]),(CountersTable[GroupByKey]=CountersTable[[#This Row],[GroupByKey]])*CountersTable[RecordedValue])),0)</f>
        <v>0</v>
      </c>
      <c r="L2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4E+20</v>
      </c>
      <c r="N2">
        <f t="array" ref="N2">MIN(IF((CountersTable[GroupByKey]=CountersTable[[#This Row],[GroupByKey]]),(CountersTable[GroupByKey]=CountersTable[[#This Row],[GroupByKey]])*CountersTable[RecordedValue]))</f>
        <v>683</v>
      </c>
      <c r="O2">
        <f t="array" ref="O2">MAX(IF((CountersTable[GroupByKey]=CountersTable[[#This Row],[GroupByKey]]),(CountersTable[GroupByKey]=CountersTable[[#This Row],[GroupByKey]])*CountersTable[RecordedValue]))</f>
        <v>683</v>
      </c>
    </row>
    <row r="3" spans="1:15" x14ac:dyDescent="0.25">
      <c r="A3" t="s">
        <v>67</v>
      </c>
      <c r="B3" t="s">
        <v>70</v>
      </c>
      <c r="C3">
        <v>1</v>
      </c>
      <c r="D3" t="s">
        <v>99</v>
      </c>
      <c r="E3" t="s">
        <v>98</v>
      </c>
      <c r="F3" t="s">
        <v>73</v>
      </c>
      <c r="G3">
        <v>429</v>
      </c>
      <c r="H3" t="str">
        <f>CountersTable[[#This Row],[ProjectName]]&amp;CountersTable[[#This Row],[Name]]&amp;CountersTable[[#This Row],[Type]]&amp;CountersTable[[#This Row],[Source]]</f>
        <v>Unnamed ProjectNb P2 arriveesCountUser Specified</v>
      </c>
      <c r="I3">
        <f t="array" ref="I3">MAX(IF((ProjectInfoTable[ProjectName]=CountersTable[[#This Row],[ProjectName]]),(ProjectInfoTable[ProjectName]=CountersTable[[#This Row],[ProjectName]])*ProjectInfoTable[NumberOfReplications]))</f>
        <v>1</v>
      </c>
      <c r="J3">
        <f t="array" ref="J3">IFERROR(AVERAGE(IF((CountersTable[GroupByKey]=CountersTable[[#This Row],[GroupByKey]]),(CountersTable[GroupByKey]=CountersTable[[#This Row],[GroupByKey]])*CountersTable[RecordedValue])),0)</f>
        <v>429</v>
      </c>
      <c r="K3">
        <f t="array" ref="K3">IFERROR(_xlfn.STDEV.S(IF((CountersTable[GroupByKey]=CountersTable[[#This Row],[GroupByKey]]),(CountersTable[GroupByKey]=CountersTable[[#This Row],[GroupByKey]])*CountersTable[RecordedValue])),0)</f>
        <v>0</v>
      </c>
      <c r="L3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4E+20</v>
      </c>
      <c r="N3">
        <f t="array" ref="N3">MIN(IF((CountersTable[GroupByKey]=CountersTable[[#This Row],[GroupByKey]]),(CountersTable[GroupByKey]=CountersTable[[#This Row],[GroupByKey]])*CountersTable[RecordedValue]))</f>
        <v>429</v>
      </c>
      <c r="O3">
        <f t="array" ref="O3">MAX(IF((CountersTable[GroupByKey]=CountersTable[[#This Row],[GroupByKey]]),(CountersTable[GroupByKey]=CountersTable[[#This Row],[GroupByKey]])*CountersTable[RecordedValue]))</f>
        <v>429</v>
      </c>
    </row>
  </sheetData>
  <phoneticPr fontId="2" type="noConversion"/>
  <conditionalFormatting sqref="H1:O3">
    <cfRule type="expression" dxfId="5" priority="2">
      <formula>MOD(ROW(),2)=0</formula>
    </cfRule>
  </conditionalFormatting>
  <conditionalFormatting sqref="M1:M3">
    <cfRule type="expression" dxfId="4" priority="1">
      <formula>M1=400000000000000000000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0"/>
  <sheetViews>
    <sheetView workbookViewId="0">
      <selection activeCell="A2" sqref="A2:H3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3.1406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67" bestFit="1" customWidth="1"/>
    <col min="10" max="10" width="17.28515625" bestFit="1" customWidth="1"/>
    <col min="11" max="11" width="12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70</v>
      </c>
      <c r="C2">
        <v>1</v>
      </c>
      <c r="D2" t="s">
        <v>100</v>
      </c>
      <c r="E2" t="s">
        <v>101</v>
      </c>
      <c r="F2" t="s">
        <v>90</v>
      </c>
      <c r="G2">
        <v>1113</v>
      </c>
      <c r="H2">
        <v>0</v>
      </c>
      <c r="I2" t="str">
        <f>OutputTable[[#This Row],[ProjectName]]&amp;OutputTable[[#This Row],[Name]]&amp;OutputTable[[#This Row],[Type]]&amp;OutputTable[[#This Row],[Source]]</f>
        <v>Unnamed ProjectM1.NumberSeizedTotal Number SeizedResource</v>
      </c>
      <c r="J2">
        <f t="array" ref="J2">MAX(IF((ProjectInfoTable[ProjectName]=OutputTable[[#This Row],[ProjectName]]),(ProjectInfoTable[ProjectName]=OutputTable[[#This Row],[ProjectName]])*ProjectInfoTable[NumberOfReplications]))</f>
        <v>1</v>
      </c>
      <c r="K2">
        <f t="array" ref="K2">IFERROR(AVERAGE(IF((OutputTable[GroupByKey]=OutputTable[[#This Row],[GroupByKey]]),(OutputTable[GroupByKey]=OutputTable[[#This Row],[GroupByKey]])*OutputTable[RecordedValue])),0)</f>
        <v>1113</v>
      </c>
      <c r="L2">
        <f t="array" ref="L2">IFERROR(_xlfn.STDEV.S(IF((OutputTable[GroupByKey]=OutputTable[[#This Row],[GroupByKey]]),(OutputTable[GroupByKey]=OutputTable[[#This Row],[GroupByKey]])*OutputTable[RecordedValue])),0)</f>
        <v>0</v>
      </c>
      <c r="M2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>
        <f t="array" ref="O2">MIN(IF((OutputTable[GroupByKey]=OutputTable[[#This Row],[GroupByKey]]),(OutputTable[GroupByKey]=OutputTable[[#This Row],[GroupByKey]])*OutputTable[RecordedValue]))</f>
        <v>1113</v>
      </c>
      <c r="P2">
        <f t="array" ref="P2">MAX(IF((OutputTable[GroupByKey]=OutputTable[[#This Row],[GroupByKey]]),(OutputTable[GroupByKey]=OutputTable[[#This Row],[GroupByKey]])*OutputTable[RecordedValue]))</f>
        <v>1113</v>
      </c>
    </row>
    <row r="3" spans="1:16" x14ac:dyDescent="0.25">
      <c r="A3" t="s">
        <v>67</v>
      </c>
      <c r="B3" t="s">
        <v>70</v>
      </c>
      <c r="C3">
        <v>1</v>
      </c>
      <c r="D3" t="s">
        <v>102</v>
      </c>
      <c r="E3" t="s">
        <v>103</v>
      </c>
      <c r="F3" t="s">
        <v>90</v>
      </c>
      <c r="G3">
        <v>0.88961242052726197</v>
      </c>
      <c r="H3">
        <v>0</v>
      </c>
      <c r="I3" t="str">
        <f>OutputTable[[#This Row],[ProjectName]]&amp;OutputTable[[#This Row],[Name]]&amp;OutputTable[[#This Row],[Type]]&amp;OutputTable[[#This Row],[Source]]</f>
        <v>Unnamed ProjectM1.ScheduledUtilizationScheduled UtilizationResource</v>
      </c>
      <c r="J3">
        <f t="array" ref="J3">MAX(IF((ProjectInfoTable[ProjectName]=OutputTable[[#This Row],[ProjectName]]),(ProjectInfoTable[ProjectName]=OutputTable[[#This Row],[ProjectName]])*ProjectInfoTable[NumberOfReplications]))</f>
        <v>1</v>
      </c>
      <c r="K3">
        <f t="array" ref="K3">IFERROR(AVERAGE(IF((OutputTable[GroupByKey]=OutputTable[[#This Row],[GroupByKey]]),(OutputTable[GroupByKey]=OutputTable[[#This Row],[GroupByKey]])*OutputTable[RecordedValue])),0)</f>
        <v>0.88961242052726197</v>
      </c>
      <c r="L3">
        <f t="array" ref="L3">IFERROR(_xlfn.STDEV.S(IF((OutputTable[GroupByKey]=OutputTable[[#This Row],[GroupByKey]]),(OutputTable[GroupByKey]=OutputTable[[#This Row],[GroupByKey]])*OutputTable[RecordedValue])),0)</f>
        <v>0</v>
      </c>
      <c r="M3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>
        <f t="array" ref="O3">MIN(IF((OutputTable[GroupByKey]=OutputTable[[#This Row],[GroupByKey]]),(OutputTable[GroupByKey]=OutputTable[[#This Row],[GroupByKey]])*OutputTable[RecordedValue]))</f>
        <v>0.88961242052726197</v>
      </c>
      <c r="P3">
        <f t="array" ref="P3">MAX(IF((OutputTable[GroupByKey]=OutputTable[[#This Row],[GroupByKey]]),(OutputTable[GroupByKey]=OutputTable[[#This Row],[GroupByKey]])*OutputTable[RecordedValue]))</f>
        <v>0.88961242052726197</v>
      </c>
    </row>
    <row r="4" spans="1:16" x14ac:dyDescent="0.25">
      <c r="A4" t="s">
        <v>67</v>
      </c>
      <c r="B4" t="s">
        <v>70</v>
      </c>
      <c r="C4">
        <v>1</v>
      </c>
      <c r="D4" t="s">
        <v>104</v>
      </c>
      <c r="E4" t="s">
        <v>101</v>
      </c>
      <c r="F4" t="s">
        <v>90</v>
      </c>
      <c r="G4">
        <v>683</v>
      </c>
      <c r="H4">
        <v>0</v>
      </c>
      <c r="I4" t="str">
        <f>OutputTable[[#This Row],[ProjectName]]&amp;OutputTable[[#This Row],[Name]]&amp;OutputTable[[#This Row],[Type]]&amp;OutputTable[[#This Row],[Source]]</f>
        <v>Unnamed ProjectM2.NumberSeizedTotal Number SeizedResource</v>
      </c>
      <c r="J4">
        <f t="array" ref="J4">MAX(IF((ProjectInfoTable[ProjectName]=OutputTable[[#This Row],[ProjectName]]),(ProjectInfoTable[ProjectName]=OutputTable[[#This Row],[ProjectName]])*ProjectInfoTable[NumberOfReplications]))</f>
        <v>1</v>
      </c>
      <c r="K4">
        <f t="array" ref="K4">IFERROR(AVERAGE(IF((OutputTable[GroupByKey]=OutputTable[[#This Row],[GroupByKey]]),(OutputTable[GroupByKey]=OutputTable[[#This Row],[GroupByKey]])*OutputTable[RecordedValue])),0)</f>
        <v>683</v>
      </c>
      <c r="L4">
        <f t="array" ref="L4">IFERROR(_xlfn.STDEV.S(IF((OutputTable[GroupByKey]=OutputTable[[#This Row],[GroupByKey]]),(OutputTable[GroupByKey]=OutputTable[[#This Row],[GroupByKey]])*OutputTable[RecordedValue])),0)</f>
        <v>0</v>
      </c>
      <c r="M4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>
        <f t="array" ref="O4">MIN(IF((OutputTable[GroupByKey]=OutputTable[[#This Row],[GroupByKey]]),(OutputTable[GroupByKey]=OutputTable[[#This Row],[GroupByKey]])*OutputTable[RecordedValue]))</f>
        <v>683</v>
      </c>
      <c r="P4">
        <f t="array" ref="P4">MAX(IF((OutputTable[GroupByKey]=OutputTable[[#This Row],[GroupByKey]]),(OutputTable[GroupByKey]=OutputTable[[#This Row],[GroupByKey]])*OutputTable[RecordedValue]))</f>
        <v>683</v>
      </c>
    </row>
    <row r="5" spans="1:16" x14ac:dyDescent="0.25">
      <c r="A5" t="s">
        <v>67</v>
      </c>
      <c r="B5" t="s">
        <v>70</v>
      </c>
      <c r="C5">
        <v>1</v>
      </c>
      <c r="D5" t="s">
        <v>105</v>
      </c>
      <c r="E5" t="s">
        <v>103</v>
      </c>
      <c r="F5" t="s">
        <v>90</v>
      </c>
      <c r="G5">
        <v>0.68300000000000005</v>
      </c>
      <c r="H5">
        <v>0</v>
      </c>
      <c r="I5" t="str">
        <f>OutputTable[[#This Row],[ProjectName]]&amp;OutputTable[[#This Row],[Name]]&amp;OutputTable[[#This Row],[Type]]&amp;OutputTable[[#This Row],[Source]]</f>
        <v>Unnamed ProjectM2.ScheduledUtilizationScheduled UtilizationResource</v>
      </c>
      <c r="J5">
        <f t="array" ref="J5">MAX(IF((ProjectInfoTable[ProjectName]=OutputTable[[#This Row],[ProjectName]]),(ProjectInfoTable[ProjectName]=OutputTable[[#This Row],[ProjectName]])*ProjectInfoTable[NumberOfReplications]))</f>
        <v>1</v>
      </c>
      <c r="K5">
        <f t="array" ref="K5">IFERROR(AVERAGE(IF((OutputTable[GroupByKey]=OutputTable[[#This Row],[GroupByKey]]),(OutputTable[GroupByKey]=OutputTable[[#This Row],[GroupByKey]])*OutputTable[RecordedValue])),0)</f>
        <v>0.68300000000000005</v>
      </c>
      <c r="L5">
        <f t="array" ref="L5">IFERROR(_xlfn.STDEV.S(IF((OutputTable[GroupByKey]=OutputTable[[#This Row],[GroupByKey]]),(OutputTable[GroupByKey]=OutputTable[[#This Row],[GroupByKey]])*OutputTable[RecordedValue])),0)</f>
        <v>0</v>
      </c>
      <c r="M5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>
        <f t="array" ref="O5">MIN(IF((OutputTable[GroupByKey]=OutputTable[[#This Row],[GroupByKey]]),(OutputTable[GroupByKey]=OutputTable[[#This Row],[GroupByKey]])*OutputTable[RecordedValue]))</f>
        <v>0.68300000000000005</v>
      </c>
      <c r="P5">
        <f t="array" ref="P5">MAX(IF((OutputTable[GroupByKey]=OutputTable[[#This Row],[GroupByKey]]),(OutputTable[GroupByKey]=OutputTable[[#This Row],[GroupByKey]])*OutputTable[RecordedValue]))</f>
        <v>0.68300000000000005</v>
      </c>
    </row>
    <row r="6" spans="1:16" x14ac:dyDescent="0.25">
      <c r="A6" t="s">
        <v>67</v>
      </c>
      <c r="B6" t="s">
        <v>70</v>
      </c>
      <c r="C6">
        <v>1</v>
      </c>
      <c r="D6" t="s">
        <v>106</v>
      </c>
      <c r="E6" t="s">
        <v>101</v>
      </c>
      <c r="F6" t="s">
        <v>90</v>
      </c>
      <c r="G6">
        <v>429</v>
      </c>
      <c r="H6">
        <v>0</v>
      </c>
      <c r="I6" t="str">
        <f>OutputTable[[#This Row],[ProjectName]]&amp;OutputTable[[#This Row],[Name]]&amp;OutputTable[[#This Row],[Type]]&amp;OutputTable[[#This Row],[Source]]</f>
        <v>Unnamed ProjectM3.NumberSeizedTotal Number SeizedResource</v>
      </c>
      <c r="J6">
        <f t="array" ref="J6">MAX(IF((ProjectInfoTable[ProjectName]=OutputTable[[#This Row],[ProjectName]]),(ProjectInfoTable[ProjectName]=OutputTable[[#This Row],[ProjectName]])*ProjectInfoTable[NumberOfReplications]))</f>
        <v>1</v>
      </c>
      <c r="K6">
        <f t="array" ref="K6">IFERROR(AVERAGE(IF((OutputTable[GroupByKey]=OutputTable[[#This Row],[GroupByKey]]),(OutputTable[GroupByKey]=OutputTable[[#This Row],[GroupByKey]])*OutputTable[RecordedValue])),0)</f>
        <v>429</v>
      </c>
      <c r="L6">
        <f t="array" ref="L6">IFERROR(_xlfn.STDEV.S(IF((OutputTable[GroupByKey]=OutputTable[[#This Row],[GroupByKey]]),(OutputTable[GroupByKey]=OutputTable[[#This Row],[GroupByKey]])*OutputTable[RecordedValue])),0)</f>
        <v>0</v>
      </c>
      <c r="M6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>
        <f t="array" ref="O6">MIN(IF((OutputTable[GroupByKey]=OutputTable[[#This Row],[GroupByKey]]),(OutputTable[GroupByKey]=OutputTable[[#This Row],[GroupByKey]])*OutputTable[RecordedValue]))</f>
        <v>429</v>
      </c>
      <c r="P6">
        <f t="array" ref="P6">MAX(IF((OutputTable[GroupByKey]=OutputTable[[#This Row],[GroupByKey]]),(OutputTable[GroupByKey]=OutputTable[[#This Row],[GroupByKey]])*OutputTable[RecordedValue]))</f>
        <v>429</v>
      </c>
    </row>
    <row r="7" spans="1:16" x14ac:dyDescent="0.25">
      <c r="A7" t="s">
        <v>67</v>
      </c>
      <c r="B7" t="s">
        <v>70</v>
      </c>
      <c r="C7">
        <v>1</v>
      </c>
      <c r="D7" t="s">
        <v>107</v>
      </c>
      <c r="E7" t="s">
        <v>103</v>
      </c>
      <c r="F7" t="s">
        <v>90</v>
      </c>
      <c r="G7">
        <v>0.34241242052726301</v>
      </c>
      <c r="H7">
        <v>0</v>
      </c>
      <c r="I7" t="str">
        <f>OutputTable[[#This Row],[ProjectName]]&amp;OutputTable[[#This Row],[Name]]&amp;OutputTable[[#This Row],[Type]]&amp;OutputTable[[#This Row],[Source]]</f>
        <v>Unnamed ProjectM3.ScheduledUtilizationScheduled UtilizationResource</v>
      </c>
      <c r="J7">
        <f t="array" ref="J7">MAX(IF((ProjectInfoTable[ProjectName]=OutputTable[[#This Row],[ProjectName]]),(ProjectInfoTable[ProjectName]=OutputTable[[#This Row],[ProjectName]])*ProjectInfoTable[NumberOfReplications]))</f>
        <v>1</v>
      </c>
      <c r="K7">
        <f t="array" ref="K7">IFERROR(AVERAGE(IF((OutputTable[GroupByKey]=OutputTable[[#This Row],[GroupByKey]]),(OutputTable[GroupByKey]=OutputTable[[#This Row],[GroupByKey]])*OutputTable[RecordedValue])),0)</f>
        <v>0.34241242052726301</v>
      </c>
      <c r="L7">
        <f t="array" ref="L7">IFERROR(_xlfn.STDEV.S(IF((OutputTable[GroupByKey]=OutputTable[[#This Row],[GroupByKey]]),(OutputTable[GroupByKey]=OutputTable[[#This Row],[GroupByKey]])*OutputTable[RecordedValue])),0)</f>
        <v>0</v>
      </c>
      <c r="M7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>
        <f t="array" ref="O7">MIN(IF((OutputTable[GroupByKey]=OutputTable[[#This Row],[GroupByKey]]),(OutputTable[GroupByKey]=OutputTable[[#This Row],[GroupByKey]])*OutputTable[RecordedValue]))</f>
        <v>0.34241242052726301</v>
      </c>
      <c r="P7">
        <f t="array" ref="P7">MAX(IF((OutputTable[GroupByKey]=OutputTable[[#This Row],[GroupByKey]]),(OutputTable[GroupByKey]=OutputTable[[#This Row],[GroupByKey]])*OutputTable[RecordedValue]))</f>
        <v>0.34241242052726301</v>
      </c>
    </row>
    <row r="8" spans="1:16" x14ac:dyDescent="0.25">
      <c r="A8" t="s">
        <v>67</v>
      </c>
      <c r="B8" t="s">
        <v>70</v>
      </c>
      <c r="C8">
        <v>1</v>
      </c>
      <c r="D8" t="s">
        <v>108</v>
      </c>
      <c r="E8" t="s">
        <v>109</v>
      </c>
      <c r="F8" t="s">
        <v>82</v>
      </c>
      <c r="G8">
        <v>1113</v>
      </c>
      <c r="H8">
        <v>0</v>
      </c>
      <c r="I8" t="str">
        <f>OutputTable[[#This Row],[ProjectName]]&amp;OutputTable[[#This Row],[Name]]&amp;OutputTable[[#This Row],[Type]]&amp;OutputTable[[#This Row],[Source]]</f>
        <v>Unnamed ProjectP1.NumberInNumber InEntity</v>
      </c>
      <c r="J8">
        <f t="array" ref="J8">MAX(IF((ProjectInfoTable[ProjectName]=OutputTable[[#This Row],[ProjectName]]),(ProjectInfoTable[ProjectName]=OutputTable[[#This Row],[ProjectName]])*ProjectInfoTable[NumberOfReplications]))</f>
        <v>1</v>
      </c>
      <c r="K8">
        <f t="array" ref="K8">IFERROR(AVERAGE(IF((OutputTable[GroupByKey]=OutputTable[[#This Row],[GroupByKey]]),(OutputTable[GroupByKey]=OutputTable[[#This Row],[GroupByKey]])*OutputTable[RecordedValue])),0)</f>
        <v>1113</v>
      </c>
      <c r="L8">
        <f t="array" ref="L8">IFERROR(_xlfn.STDEV.S(IF((OutputTable[GroupByKey]=OutputTable[[#This Row],[GroupByKey]]),(OutputTable[GroupByKey]=OutputTable[[#This Row],[GroupByKey]])*OutputTable[RecordedValue])),0)</f>
        <v>0</v>
      </c>
      <c r="M8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>
        <f t="array" ref="O8">MIN(IF((OutputTable[GroupByKey]=OutputTable[[#This Row],[GroupByKey]]),(OutputTable[GroupByKey]=OutputTable[[#This Row],[GroupByKey]])*OutputTable[RecordedValue]))</f>
        <v>1113</v>
      </c>
      <c r="P8">
        <f t="array" ref="P8">MAX(IF((OutputTable[GroupByKey]=OutputTable[[#This Row],[GroupByKey]]),(OutputTable[GroupByKey]=OutputTable[[#This Row],[GroupByKey]])*OutputTable[RecordedValue]))</f>
        <v>1113</v>
      </c>
    </row>
    <row r="9" spans="1:16" x14ac:dyDescent="0.25">
      <c r="A9" t="s">
        <v>67</v>
      </c>
      <c r="B9" t="s">
        <v>70</v>
      </c>
      <c r="C9">
        <v>1</v>
      </c>
      <c r="D9" t="s">
        <v>110</v>
      </c>
      <c r="E9" t="s">
        <v>111</v>
      </c>
      <c r="F9" t="s">
        <v>82</v>
      </c>
      <c r="G9">
        <v>1111</v>
      </c>
      <c r="H9">
        <v>0</v>
      </c>
      <c r="I9" t="str">
        <f>OutputTable[[#This Row],[ProjectName]]&amp;OutputTable[[#This Row],[Name]]&amp;OutputTable[[#This Row],[Type]]&amp;OutputTable[[#This Row],[Source]]</f>
        <v>Unnamed ProjectP1.NumberOutNumber OutEntity</v>
      </c>
      <c r="J9">
        <f t="array" ref="J9">MAX(IF((ProjectInfoTable[ProjectName]=OutputTable[[#This Row],[ProjectName]]),(ProjectInfoTable[ProjectName]=OutputTable[[#This Row],[ProjectName]])*ProjectInfoTable[NumberOfReplications]))</f>
        <v>1</v>
      </c>
      <c r="K9">
        <f t="array" ref="K9">IFERROR(AVERAGE(IF((OutputTable[GroupByKey]=OutputTable[[#This Row],[GroupByKey]]),(OutputTable[GroupByKey]=OutputTable[[#This Row],[GroupByKey]])*OutputTable[RecordedValue])),0)</f>
        <v>1111</v>
      </c>
      <c r="L9">
        <f t="array" ref="L9">IFERROR(_xlfn.STDEV.S(IF((OutputTable[GroupByKey]=OutputTable[[#This Row],[GroupByKey]]),(OutputTable[GroupByKey]=OutputTable[[#This Row],[GroupByKey]])*OutputTable[RecordedValue])),0)</f>
        <v>0</v>
      </c>
      <c r="M9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>
        <f t="array" ref="O9">MIN(IF((OutputTable[GroupByKey]=OutputTable[[#This Row],[GroupByKey]]),(OutputTable[GroupByKey]=OutputTable[[#This Row],[GroupByKey]])*OutputTable[RecordedValue]))</f>
        <v>1111</v>
      </c>
      <c r="P9">
        <f t="array" ref="P9">MAX(IF((OutputTable[GroupByKey]=OutputTable[[#This Row],[GroupByKey]]),(OutputTable[GroupByKey]=OutputTable[[#This Row],[GroupByKey]])*OutputTable[RecordedValue]))</f>
        <v>1111</v>
      </c>
    </row>
    <row r="10" spans="1:16" x14ac:dyDescent="0.25">
      <c r="A10" t="s">
        <v>67</v>
      </c>
      <c r="B10" t="s">
        <v>70</v>
      </c>
      <c r="C10">
        <v>1</v>
      </c>
      <c r="D10" t="s">
        <v>112</v>
      </c>
      <c r="E10" t="s">
        <v>111</v>
      </c>
      <c r="F10" t="s">
        <v>113</v>
      </c>
      <c r="G10">
        <v>1111</v>
      </c>
      <c r="H10">
        <v>0</v>
      </c>
      <c r="I10" t="str">
        <f>OutputTable[[#This Row],[ProjectName]]&amp;OutputTable[[#This Row],[Name]]&amp;OutputTable[[#This Row],[Type]]&amp;OutputTable[[#This Row],[Source]]</f>
        <v>Unnamed ProjectSystem.NumberOutNumber OutSystem</v>
      </c>
      <c r="J10">
        <f t="array" ref="J10">MAX(IF((ProjectInfoTable[ProjectName]=OutputTable[[#This Row],[ProjectName]]),(ProjectInfoTable[ProjectName]=OutputTable[[#This Row],[ProjectName]])*ProjectInfoTable[NumberOfReplications]))</f>
        <v>1</v>
      </c>
      <c r="K10">
        <f t="array" ref="K10">IFERROR(AVERAGE(IF((OutputTable[GroupByKey]=OutputTable[[#This Row],[GroupByKey]]),(OutputTable[GroupByKey]=OutputTable[[#This Row],[GroupByKey]])*OutputTable[RecordedValue])),0)</f>
        <v>1111</v>
      </c>
      <c r="L10">
        <f t="array" ref="L10">IFERROR(_xlfn.STDEV.S(IF((OutputTable[GroupByKey]=OutputTable[[#This Row],[GroupByKey]]),(OutputTable[GroupByKey]=OutputTable[[#This Row],[GroupByKey]])*OutputTable[RecordedValue])),0)</f>
        <v>0</v>
      </c>
      <c r="M10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>
        <f t="array" ref="O10">MIN(IF((OutputTable[GroupByKey]=OutputTable[[#This Row],[GroupByKey]]),(OutputTable[GroupByKey]=OutputTable[[#This Row],[GroupByKey]])*OutputTable[RecordedValue]))</f>
        <v>1111</v>
      </c>
      <c r="P10">
        <f t="array" ref="P10">MAX(IF((OutputTable[GroupByKey]=OutputTable[[#This Row],[GroupByKey]]),(OutputTable[GroupByKey]=OutputTable[[#This Row],[GroupByKey]])*OutputTable[RecordedValue]))</f>
        <v>1111</v>
      </c>
    </row>
  </sheetData>
  <phoneticPr fontId="2" type="noConversion"/>
  <conditionalFormatting sqref="I2:P10">
    <cfRule type="expression" dxfId="3" priority="2">
      <formula>MOD(ROW(),2)=0</formula>
    </cfRule>
  </conditionalFormatting>
  <conditionalFormatting sqref="N2:N10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bestFit="1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Youssef OUBELLA</cp:lastModifiedBy>
  <cp:lastPrinted>2022-03-22T10:33:10Z</cp:lastPrinted>
  <dcterms:created xsi:type="dcterms:W3CDTF">2020-06-29T21:30:31Z</dcterms:created>
  <dcterms:modified xsi:type="dcterms:W3CDTF">2026-06-21T15:11:39Z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