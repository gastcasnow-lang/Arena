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ouss\Downloads\"/>
    </mc:Choice>
  </mc:AlternateContent>
  <xr:revisionPtr revIDLastSave="0" documentId="13_ncr:1_{480E5E1F-29E3-41EC-AD5C-4E523B35E27E}" xr6:coauthVersionLast="47" xr6:coauthVersionMax="47" xr10:uidLastSave="{00000000-0000-0000-0000-000000000000}"/>
  <bookViews>
    <workbookView xWindow="28680" yWindow="-120" windowWidth="38640" windowHeight="2124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ContinuousTimeStatsByRep!$A$1:$L$10</definedName>
    <definedName name="ExternalData_1" localSheetId="4" hidden="1">CounterStatsByRep!$A$1:$G$2</definedName>
    <definedName name="ExternalData_1" localSheetId="2" hidden="1">DiscreteTimeStatsByRep!$A$1:$K$9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16" r:id="rId8"/>
    <pivotCache cacheId="123" r:id="rId9"/>
    <pivotCache cacheId="130" r:id="rId10"/>
    <pivotCache cacheId="137" r:id="rId11"/>
    <pivotCache cacheId="144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L8" i="20" s="1" a="1"/>
  <c r="L8" i="20" s="1"/>
  <c r="I3" i="20"/>
  <c r="I4" i="20"/>
  <c r="I5" i="20"/>
  <c r="I6" i="20"/>
  <c r="I7" i="20"/>
  <c r="K7" i="20" s="1" a="1"/>
  <c r="K7" i="20" s="1"/>
  <c r="I8" i="20"/>
  <c r="J2" i="20" a="1"/>
  <c r="J2" i="20" s="1"/>
  <c r="J3" i="20" a="1"/>
  <c r="J3" i="20" s="1"/>
  <c r="J4" i="20" a="1"/>
  <c r="J4" i="20" s="1"/>
  <c r="J5" i="20" a="1"/>
  <c r="J5" i="20"/>
  <c r="J6" i="20" a="1"/>
  <c r="J6" i="20" s="1"/>
  <c r="J7" i="20" a="1"/>
  <c r="J7" i="20" s="1"/>
  <c r="J8" i="20" a="1"/>
  <c r="J8" i="20"/>
  <c r="K3" i="20" a="1"/>
  <c r="K3" i="20" s="1"/>
  <c r="M2" i="20" a="1"/>
  <c r="M2" i="20" s="1"/>
  <c r="M3" i="20" a="1"/>
  <c r="M3" i="20" s="1"/>
  <c r="M4" i="20" a="1"/>
  <c r="M4" i="20"/>
  <c r="M5" i="20" a="1"/>
  <c r="M5" i="20" s="1"/>
  <c r="M6" i="20" a="1"/>
  <c r="M6" i="20" s="1"/>
  <c r="M7" i="20" a="1"/>
  <c r="M7" i="20" s="1"/>
  <c r="M8" i="20" a="1"/>
  <c r="M8" i="20"/>
  <c r="M2" i="18"/>
  <c r="P2" i="18" s="1" a="1"/>
  <c r="P2" i="18" s="1"/>
  <c r="M3" i="18"/>
  <c r="M4" i="18"/>
  <c r="M5" i="18"/>
  <c r="P5" i="18" s="1" a="1"/>
  <c r="P5" i="18" s="1"/>
  <c r="M6" i="18"/>
  <c r="M7" i="18"/>
  <c r="M8" i="18"/>
  <c r="P3" i="18" s="1" a="1"/>
  <c r="P3" i="18" s="1"/>
  <c r="M9" i="18"/>
  <c r="O9" i="18" s="1" a="1"/>
  <c r="O9" i="18" s="1"/>
  <c r="M10" i="18"/>
  <c r="P10" i="18" s="1" a="1"/>
  <c r="P10" i="18" s="1"/>
  <c r="N2" i="18" a="1"/>
  <c r="N2" i="18" s="1"/>
  <c r="N3" i="18" a="1"/>
  <c r="N3" i="18"/>
  <c r="U3" i="18" s="1"/>
  <c r="N4" i="18" a="1"/>
  <c r="N4" i="18" s="1"/>
  <c r="N5" i="18" a="1"/>
  <c r="N5" i="18"/>
  <c r="N6" i="18" a="1"/>
  <c r="N6" i="18" s="1"/>
  <c r="N7" i="18" a="1"/>
  <c r="N7" i="18" s="1"/>
  <c r="N8" i="18" a="1"/>
  <c r="N8" i="18" s="1"/>
  <c r="N9" i="18" a="1"/>
  <c r="N9" i="18" s="1"/>
  <c r="U9" i="18" s="1"/>
  <c r="N10" i="18" a="1"/>
  <c r="N10" i="18" s="1"/>
  <c r="O7" i="18" a="1"/>
  <c r="O7" i="18" s="1"/>
  <c r="P7" i="18" a="1"/>
  <c r="P7" i="18" s="1"/>
  <c r="P8" i="18" a="1"/>
  <c r="P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T4" i="18" a="1"/>
  <c r="T4" i="18" s="1"/>
  <c r="T10" i="18" a="1"/>
  <c r="T10" i="18" s="1"/>
  <c r="U5" i="18"/>
  <c r="L2" i="17"/>
  <c r="X9" i="17" s="1" a="1"/>
  <c r="X9" i="17" s="1"/>
  <c r="L3" i="17"/>
  <c r="X6" i="17" s="1" a="1"/>
  <c r="X6" i="17" s="1"/>
  <c r="L4" i="17"/>
  <c r="L5" i="17"/>
  <c r="R5" i="17" s="1" a="1"/>
  <c r="R5" i="17" s="1"/>
  <c r="L6" i="17"/>
  <c r="R6" i="17" s="1" a="1"/>
  <c r="R6" i="17" s="1"/>
  <c r="L7" i="17"/>
  <c r="O7" i="17" s="1" a="1"/>
  <c r="O7" i="17" s="1"/>
  <c r="L8" i="17"/>
  <c r="L9" i="17"/>
  <c r="M2" i="17" a="1"/>
  <c r="M2" i="17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N2" i="17" a="1"/>
  <c r="N2" i="17" s="1"/>
  <c r="O4" i="17" a="1"/>
  <c r="O4" i="17" s="1"/>
  <c r="O6" i="17" a="1"/>
  <c r="O6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R2" i="17" a="1"/>
  <c r="R2" i="17" s="1"/>
  <c r="R4" i="17" a="1"/>
  <c r="R4" i="17" s="1"/>
  <c r="S4" i="17" a="1"/>
  <c r="S4" i="17" s="1"/>
  <c r="S5" i="17" a="1"/>
  <c r="S5" i="17" s="1"/>
  <c r="S6" i="17" a="1"/>
  <c r="S6" i="17" s="1"/>
  <c r="T2" i="17" a="1"/>
  <c r="T2" i="17" s="1"/>
  <c r="T4" i="17" a="1"/>
  <c r="T4" i="17" s="1"/>
  <c r="U4" i="17" a="1"/>
  <c r="U4" i="17" s="1"/>
  <c r="U5" i="17" a="1"/>
  <c r="U5" i="17" s="1"/>
  <c r="U6" i="17" a="1"/>
  <c r="U6" i="17" s="1"/>
  <c r="V2" i="17" a="1"/>
  <c r="V2" i="17" s="1"/>
  <c r="V4" i="17" a="1"/>
  <c r="V4" i="17" s="1"/>
  <c r="W2" i="17"/>
  <c r="X3" i="17" a="1"/>
  <c r="X3" i="17" s="1"/>
  <c r="X4" i="17" a="1"/>
  <c r="X4" i="17" s="1"/>
  <c r="X5" i="17" a="1"/>
  <c r="X5" i="17" s="1"/>
  <c r="X7" i="17" a="1"/>
  <c r="X7" i="17" s="1"/>
  <c r="G2" i="16"/>
  <c r="P4" i="20" l="1" a="1"/>
  <c r="P4" i="20" s="1"/>
  <c r="N8" i="20"/>
  <c r="O3" i="20" a="1"/>
  <c r="O3" i="20" s="1"/>
  <c r="L4" i="20" a="1"/>
  <c r="L4" i="20" s="1"/>
  <c r="N4" i="20" s="1"/>
  <c r="O2" i="20" a="1"/>
  <c r="O2" i="20" s="1"/>
  <c r="L7" i="20" a="1"/>
  <c r="L7" i="20" s="1"/>
  <c r="N7" i="20" s="1"/>
  <c r="L3" i="20" a="1"/>
  <c r="L3" i="20" s="1"/>
  <c r="N3" i="20" s="1"/>
  <c r="K6" i="20" a="1"/>
  <c r="K6" i="20" s="1"/>
  <c r="K2" i="20" a="1"/>
  <c r="K2" i="20" s="1"/>
  <c r="L2" i="20" a="1"/>
  <c r="L2" i="20" s="1"/>
  <c r="N2" i="20" s="1"/>
  <c r="K5" i="20" a="1"/>
  <c r="K5" i="20" s="1"/>
  <c r="P7" i="20" a="1"/>
  <c r="P7" i="20" s="1"/>
  <c r="P6" i="20" a="1"/>
  <c r="P6" i="20" s="1"/>
  <c r="L6" i="20" a="1"/>
  <c r="L6" i="20" s="1"/>
  <c r="N6" i="20" s="1"/>
  <c r="P5" i="20" a="1"/>
  <c r="P5" i="20" s="1"/>
  <c r="O8" i="20" a="1"/>
  <c r="O8" i="20" s="1"/>
  <c r="O4" i="20" a="1"/>
  <c r="O4" i="20" s="1"/>
  <c r="O6" i="20" a="1"/>
  <c r="O6" i="20" s="1"/>
  <c r="P2" i="20" a="1"/>
  <c r="P2" i="20" s="1"/>
  <c r="L5" i="20" a="1"/>
  <c r="L5" i="20" s="1"/>
  <c r="N5" i="20" s="1"/>
  <c r="K8" i="20" a="1"/>
  <c r="K8" i="20" s="1"/>
  <c r="K4" i="20" a="1"/>
  <c r="K4" i="20" s="1"/>
  <c r="P3" i="20" a="1"/>
  <c r="P3" i="20" s="1"/>
  <c r="O5" i="20" a="1"/>
  <c r="O5" i="20" s="1"/>
  <c r="P8" i="20" a="1"/>
  <c r="P8" i="20" s="1"/>
  <c r="O7" i="20" a="1"/>
  <c r="O7" i="20" s="1"/>
  <c r="R7" i="18"/>
  <c r="U7" i="18"/>
  <c r="O5" i="18" a="1"/>
  <c r="O5" i="18" s="1"/>
  <c r="P6" i="18" a="1"/>
  <c r="P6" i="18" s="1"/>
  <c r="S7" i="18" a="1"/>
  <c r="S7" i="18" s="1"/>
  <c r="O3" i="18" a="1"/>
  <c r="O3" i="18" s="1"/>
  <c r="T7" i="18" a="1"/>
  <c r="T7" i="18" s="1"/>
  <c r="S9" i="18" a="1"/>
  <c r="S9" i="18" s="1"/>
  <c r="P4" i="18" a="1"/>
  <c r="P4" i="18" s="1"/>
  <c r="R4" i="18" s="1"/>
  <c r="S6" i="18" a="1"/>
  <c r="S6" i="18" s="1"/>
  <c r="T3" i="18" a="1"/>
  <c r="T3" i="18" s="1"/>
  <c r="T8" i="18" a="1"/>
  <c r="T8" i="18" s="1"/>
  <c r="T6" i="18" a="1"/>
  <c r="T6" i="18" s="1"/>
  <c r="P9" i="18" a="1"/>
  <c r="P9" i="18" s="1"/>
  <c r="R9" i="18" s="1"/>
  <c r="S5" i="18" a="1"/>
  <c r="S5" i="18" s="1"/>
  <c r="S10" i="18" a="1"/>
  <c r="S10" i="18" s="1"/>
  <c r="S2" i="18" a="1"/>
  <c r="S2" i="18" s="1"/>
  <c r="U10" i="18"/>
  <c r="R10" i="18"/>
  <c r="U4" i="18"/>
  <c r="U6" i="18"/>
  <c r="R6" i="18"/>
  <c r="R3" i="18"/>
  <c r="U8" i="18"/>
  <c r="R8" i="18"/>
  <c r="U2" i="18"/>
  <c r="R2" i="18"/>
  <c r="R5" i="18"/>
  <c r="O8" i="18" a="1"/>
  <c r="O8" i="18" s="1"/>
  <c r="O4" i="18" a="1"/>
  <c r="O4" i="18" s="1"/>
  <c r="S8" i="18" a="1"/>
  <c r="S8" i="18" s="1"/>
  <c r="S4" i="18" a="1"/>
  <c r="S4" i="18" s="1"/>
  <c r="T2" i="18" a="1"/>
  <c r="T2" i="18" s="1"/>
  <c r="S3" i="18" a="1"/>
  <c r="S3" i="18" s="1"/>
  <c r="O10" i="18" a="1"/>
  <c r="O10" i="18" s="1"/>
  <c r="O6" i="18" a="1"/>
  <c r="O6" i="18" s="1"/>
  <c r="O2" i="18" a="1"/>
  <c r="O2" i="18" s="1"/>
  <c r="T9" i="18" a="1"/>
  <c r="T9" i="18" s="1"/>
  <c r="T5" i="18" a="1"/>
  <c r="T5" i="18" s="1"/>
  <c r="V8" i="17" a="1"/>
  <c r="V8" i="17" s="1"/>
  <c r="V6" i="17" a="1"/>
  <c r="V6" i="17" s="1"/>
  <c r="T6" i="17" a="1"/>
  <c r="T6" i="17" s="1"/>
  <c r="T8" i="17" a="1"/>
  <c r="T8" i="17" s="1"/>
  <c r="U2" i="17" a="1"/>
  <c r="U2" i="17" s="1"/>
  <c r="V5" i="17" a="1"/>
  <c r="V5" i="17" s="1"/>
  <c r="T5" i="17" a="1"/>
  <c r="T5" i="17" s="1"/>
  <c r="N6" i="17" a="1"/>
  <c r="N6" i="17" s="1"/>
  <c r="S2" i="17" a="1"/>
  <c r="S2" i="17" s="1"/>
  <c r="N5" i="17" a="1"/>
  <c r="N5" i="17" s="1"/>
  <c r="X2" i="17" a="1"/>
  <c r="X2" i="17" s="1"/>
  <c r="Y2" i="17" s="1"/>
  <c r="Q2" i="17" s="1"/>
  <c r="V3" i="17" a="1"/>
  <c r="V3" i="17" s="1"/>
  <c r="U3" i="17" a="1"/>
  <c r="U3" i="17" s="1"/>
  <c r="T3" i="17" a="1"/>
  <c r="T3" i="17" s="1"/>
  <c r="S3" i="17" a="1"/>
  <c r="S3" i="17" s="1"/>
  <c r="R3" i="17" a="1"/>
  <c r="R3" i="17" s="1"/>
  <c r="O3" i="17" a="1"/>
  <c r="O3" i="17" s="1"/>
  <c r="O2" i="17" a="1"/>
  <c r="O2" i="17" s="1"/>
  <c r="X8" i="17" a="1"/>
  <c r="X8" i="17" s="1"/>
  <c r="Y8" i="17" s="1"/>
  <c r="Q8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O9" i="17" a="1"/>
  <c r="O9" i="17" s="1"/>
  <c r="N9" i="17" a="1"/>
  <c r="N9" i="17" s="1"/>
  <c r="U8" i="17" a="1"/>
  <c r="U8" i="17" s="1"/>
  <c r="S8" i="17" a="1"/>
  <c r="S8" i="17" s="1"/>
  <c r="R8" i="17" a="1"/>
  <c r="R8" i="17" s="1"/>
  <c r="O8" i="17" a="1"/>
  <c r="O8" i="17" s="1"/>
  <c r="V7" i="17" a="1"/>
  <c r="V7" i="17" s="1"/>
  <c r="U7" i="17" a="1"/>
  <c r="U7" i="17" s="1"/>
  <c r="T7" i="17" a="1"/>
  <c r="T7" i="17" s="1"/>
  <c r="S7" i="17" a="1"/>
  <c r="S7" i="17" s="1"/>
  <c r="R7" i="17" a="1"/>
  <c r="R7" i="17" s="1"/>
  <c r="N3" i="17" a="1"/>
  <c r="N3" i="17" s="1"/>
  <c r="O5" i="17" a="1"/>
  <c r="O5" i="17" s="1"/>
  <c r="N4" i="17" a="1"/>
  <c r="N4" i="17" s="1"/>
  <c r="Y6" i="17"/>
  <c r="Q6" i="17" s="1"/>
  <c r="W6" i="17"/>
  <c r="W8" i="17"/>
  <c r="W5" i="17"/>
  <c r="Y5" i="17"/>
  <c r="Y4" i="17"/>
  <c r="Q4" i="17" s="1"/>
  <c r="W4" i="17"/>
  <c r="W7" i="17"/>
  <c r="Y7" i="17"/>
  <c r="Q7" i="17" s="1"/>
  <c r="W3" i="17"/>
  <c r="Y3" i="17"/>
  <c r="Q3" i="17" s="1"/>
  <c r="W9" i="17"/>
  <c r="Y9" i="17"/>
  <c r="Q9" i="17" s="1"/>
  <c r="N8" i="17" a="1"/>
  <c r="N8" i="17" s="1"/>
  <c r="N7" i="17" a="1"/>
  <c r="N7" i="17" s="1"/>
  <c r="Q5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youss\onedrive\documents\model4.db;StepAPI=;SyncPragma=;NoTXN=;Timeout=;ShortNames=;LongNames=;NoCreat=;NoWCHAR=;FKSupport=;JournalMode=;OEMCP=;LoadExt=;BigInt=;JDConv=;AttachAs=;ILike=" command="select * from FrequencyStatsQuery"/>
  </connection>
  <connection id="2" xr16:uid="{0D0487BA-A295-4B77-80F6-D5BE4F81B0B2}" name="Connection1" type="1" refreshedVersion="8" saveData="1">
    <dbPr connection="Driver={SQLite3 ODBC Driver};Database=c:\users\youss\onedrive\documents\model4.db;StepAPI=;SyncPragma=;NoTXN=;Timeout=;ShortNames=;LongNames=;NoCreat=;NoWCHAR=;FKSupport=;JournalMode=;OEMCP=;LoadExt=;BigInt=;JDConv=;AttachAs=;ILike=" command="select * from ProjectQuery"/>
  </connection>
  <connection id="3" xr16:uid="{3D0C4819-CB44-4E78-BCA2-42901CC6F509}" name="Connection2" type="1" refreshedVersion="8" saveData="1">
    <dbPr connection="Driver={SQLite3 ODBC Driver};Database=c:\users\youss\onedrive\documents\model4.db;StepAPI=;SyncPragma=;NoTXN=;Timeout=;ShortNames=;LongNames=;NoCreat=;NoWCHAR=;FKSupport=;JournalMode=;OEMCP=;LoadExt=;BigInt=;JDConv=;AttachAs=;ILike=" command="select * from DiscreteTimeStatsQuery"/>
  </connection>
  <connection id="4" xr16:uid="{F47580D8-08D6-4B69-8DE7-1B45C3195479}" name="Connection3" type="1" refreshedVersion="8" saveData="1">
    <dbPr connection="Driver={SQLite3 ODBC Driver};Database=c:\users\youss\onedrive\documents\model4.db;StepAPI=;SyncPragma=;NoTXN=;Timeout=;ShortNames=;LongNames=;NoCreat=;NoWCHAR=;FKSupport=;JournalMode=;OEMCP=;LoadExt=;BigInt=;JDConv=;AttachAs=;ILike=" command="select * from ContinuousTimeStatsQuery"/>
  </connection>
  <connection id="5" xr16:uid="{FFC361A3-242A-482C-9819-1F93D48A8A8E}" name="Connection4" type="1" refreshedVersion="8" saveData="1">
    <dbPr connection="Driver={SQLite3 ODBC Driver};Database=c:\users\youss\onedrive\documents\model4.db;StepAPI=;SyncPragma=;NoTXN=;Timeout=;ShortNames=;LongNames=;NoCreat=;NoWCHAR=;FKSupport=;JournalMode=;OEMCP=;LoadExt=;BigInt=;JDConv=;AttachAs=;ILike=" command="select * from CounterStatsQuery"/>
  </connection>
  <connection id="6" xr16:uid="{25109672-E607-4045-8EEA-6BAAEEA2B450}" name="Connection5" type="1" refreshedVersion="8" saveData="1">
    <dbPr connection="Driver={SQLite3 ODBC Driver};Database=c:\users\youss\onedrive\documents\model4.db;StepAPI=;SyncPragma=;NoTXN=;Timeout=;ShortNames=;LongNames=;NoCreat=;NoWCHAR=;FKSupport=;JournalMode=;OEMCP=;LoadExt=;BigInt=;JDConv=;AttachAs=;ILike=" command="select * from OutputStatsQuery"/>
  </connection>
</connections>
</file>

<file path=xl/sharedStrings.xml><?xml version="1.0" encoding="utf-8"?>
<sst xmlns="http://schemas.openxmlformats.org/spreadsheetml/2006/main" count="351" uniqueCount="103">
  <si>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</si>
  <si>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</si>
  <si>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</si>
  <si>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</si>
  <si>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</si>
  <si>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</si>
  <si>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</si>
  <si>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</si>
  <si>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</si>
  <si>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</si>
  <si>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</si>
  <si>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</si>
  <si>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</si>
  <si>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</si>
  <si>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</si>
  <si>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</si>
  <si>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</si>
  <si>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</si>
  <si>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</si>
  <si>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</si>
  <si>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</si>
  <si>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</si>
  <si>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</si>
  <si>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</si>
  <si>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</si>
  <si>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</si>
  <si>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</si>
  <si>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</si>
  <si>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</si>
  <si>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</si>
  <si>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</si>
  <si>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</si>
  <si>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</si>
  <si>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</si>
  <si>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</si>
  <si>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</si>
  <si>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</si>
  <si>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</si>
  <si>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</si>
  <si>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</si>
  <si>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</si>
  <si>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</si>
  <si>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</si>
  <si>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</si>
  <si>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</si>
  <si>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</si>
  <si>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</si>
  <si>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</si>
  <si>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</si>
  <si>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</si>
  <si>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</si>
  <si>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</si>
  <si>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</si>
  <si>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</si>
  <si>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</si>
  <si>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</si>
  <si>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</si>
  <si>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</si>
  <si>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</si>
  <si>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</si>
  <si>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</si>
  <si>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</si>
  <si>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</si>
  <si>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</si>
  <si>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</si>
  <si>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</si>
  <si>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</si>
  <si>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</si>
  <si>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</si>
  <si>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Model4.p</t>
  </si>
  <si>
    <t>2026-06-21 15:23:34</t>
  </si>
  <si>
    <t>Machine M1.Queue</t>
  </si>
  <si>
    <t>Waiting Time</t>
  </si>
  <si>
    <t>Queue</t>
  </si>
  <si>
    <t>Machine M2.Queue</t>
  </si>
  <si>
    <t>P1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</si>
  <si>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</si>
  <si>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</si>
  <si>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</si>
  <si>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</si>
  <si>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</si>
  <si>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</si>
  <si>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</si>
  <si>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M1</t>
  </si>
  <si>
    <t>Instantaneous Utilization</t>
  </si>
  <si>
    <t>Resource</t>
  </si>
  <si>
    <t>Number Busy</t>
  </si>
  <si>
    <t>Number Scheduled</t>
  </si>
  <si>
    <t>M2</t>
  </si>
  <si>
    <t>Number Waiting</t>
  </si>
  <si>
    <t>WIP</t>
  </si>
  <si>
    <t>M1.NumberSeized</t>
  </si>
  <si>
    <t>Total Number Seized</t>
  </si>
  <si>
    <t>M1.ScheduledUtilization</t>
  </si>
  <si>
    <t>Scheduled Utilization</t>
  </si>
  <si>
    <t>M2.NumberSeized</t>
  </si>
  <si>
    <t>M2.ScheduledUtilization</t>
  </si>
  <si>
    <t>P1.NumberIn</t>
  </si>
  <si>
    <t>Number In</t>
  </si>
  <si>
    <t>P1.NumberOut</t>
  </si>
  <si>
    <t>Number 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</si>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</sst>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44414467592" createdVersion="7" refreshedVersion="8" minRefreshableVersion="3" recordCount="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Machine M1.Queue"/>
        <s v="Machine M2.Queue"/>
        <s v="P1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containsInteger="1" minValue="0" maxValue="9"/>
    </cacheField>
    <cacheField name="BatchMeansHalfWidth" numFmtId="0">
      <sharedItems containsSemiMixedTypes="0" containsString="0" containsNumber="1" containsInteger="1" minValue="0" maxValue="0"/>
    </cacheField>
    <cacheField name="Minimum" numFmtId="0">
      <sharedItems containsSemiMixedTypes="0" containsString="0" containsNumber="1" containsInteger="1" minValue="0" maxValue="9"/>
    </cacheField>
    <cacheField name="Maximum" numFmtId="0">
      <sharedItems containsSemiMixedTypes="0" containsString="0" containsNumber="1" containsInteger="1" minValue="0" maxValue="9"/>
    </cacheField>
    <cacheField name="NumberObservations" numFmtId="0">
      <sharedItems containsSemiMixedTypes="0" containsString="0" containsNumber="1" containsInteger="1" minValue="999" maxValue="1001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containsInteger="1" minValue="0" maxValue="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containsInteger="1" minValue="0" maxValue="9"/>
    </cacheField>
    <cacheField name="MaximumAverage" numFmtId="0">
      <sharedItems containsSemiMixedTypes="0" containsString="0" containsNumber="1" containsInteger="1" minValue="0" maxValue="9"/>
    </cacheField>
    <cacheField name="OverallMinimum" numFmtId="0">
      <sharedItems containsSemiMixedTypes="0" containsString="0" containsNumber="1" containsInteger="1" minValue="0" maxValue="9"/>
    </cacheField>
    <cacheField name="OverallMaximum" numFmtId="0">
      <sharedItems containsSemiMixedTypes="0" containsString="0" containsNumber="1" containsInteger="1" minValue="0" maxValue="9"/>
    </cacheField>
    <cacheField name="AverageNumberObservations" numFmtId="0">
      <sharedItems containsSemiMixedTypes="0" containsString="0" containsNumber="1" containsInteger="1" minValue="999" maxValue="1001"/>
    </cacheField>
    <cacheField name="SummaryHalfWidth" numFmtId="0">
      <sharedItems containsSemiMixedTypes="0" containsString="0" containsNumber="1" containsInteger="1" minValue="0" maxValue="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44414699076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M1.NumberSeized"/>
        <s v="M1.ScheduledUtilization"/>
        <s v="M2.NumberSeized"/>
        <s v="M2.ScheduledUtilization"/>
        <s v="P1.NumberIn"/>
        <s v="P1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.8" maxValue="100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8" maxValue="1001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8" maxValue="1001"/>
    </cacheField>
    <cacheField name="Maximum" numFmtId="0">
      <sharedItems containsSemiMixedTypes="0" containsString="0" containsNumber="1" minValue="0.8" maxValue="1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4441516203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44415277777" createdVersion="7" refreshedVersion="8" minRefreshableVersion="3" recordCount="9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M1"/>
        <s v="M2"/>
        <s v="Machine M1.Queue"/>
        <s v="Machine M2.Queue"/>
        <s v="P1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1.7991999999999999"/>
    </cacheField>
    <cacheField name="BatchMeansHalfWidth" numFmtId="0">
      <sharedItems containsSemiMixedTypes="0" containsString="0" containsNumber="1" minValue="1.8656337222541701E-3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2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.79919999999999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.7991999999999999"/>
    </cacheField>
    <cacheField name="MaximumAverage" numFmtId="0">
      <sharedItems containsSemiMixedTypes="0" containsString="0" containsNumber="1" minValue="0" maxValue="1.7991999999999999"/>
    </cacheField>
    <cacheField name="SummaryHalfWidth" numFmtId="0">
      <sharedItems containsSemiMixedTypes="0" containsString="0" containsNumber="1" minValue="1.8656337222541701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ssef OUBELLA" refreshedDate="46194.64441539351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26-06-21 15:23:34"/>
    <n v="1"/>
    <x v="0"/>
    <x v="0"/>
    <x v="0"/>
    <n v="0"/>
    <n v="0"/>
    <n v="0"/>
    <n v="0"/>
    <n v="1001"/>
    <s v="Unnamed ProjectMachine M1.QueueWaiting TimeQueue"/>
    <n v="1"/>
    <n v="0"/>
    <n v="0"/>
    <n v="0.95"/>
    <n v="4E+20"/>
    <n v="0"/>
    <n v="0"/>
    <n v="0"/>
    <n v="0"/>
    <n v="1001"/>
    <n v="0"/>
    <n v="1"/>
    <n v="1"/>
  </r>
  <r>
    <x v="0"/>
    <s v="2026-06-21 15:23:34"/>
    <n v="1"/>
    <x v="1"/>
    <x v="0"/>
    <x v="0"/>
    <n v="0"/>
    <n v="0"/>
    <n v="0"/>
    <n v="0"/>
    <n v="1000"/>
    <s v="Unnamed ProjectMachine M2.QueueWaiting TimeQueue"/>
    <n v="1"/>
    <n v="0"/>
    <n v="0"/>
    <n v="0.95"/>
    <n v="4E+20"/>
    <n v="0"/>
    <n v="0"/>
    <n v="0"/>
    <n v="0"/>
    <n v="1000"/>
    <n v="0"/>
    <n v="1"/>
    <n v="1"/>
  </r>
  <r>
    <x v="0"/>
    <s v="2026-06-21 15:23:34"/>
    <n v="1"/>
    <x v="2"/>
    <x v="1"/>
    <x v="1"/>
    <n v="0"/>
    <n v="0"/>
    <n v="0"/>
    <n v="0"/>
    <n v="999"/>
    <s v="Unnamed ProjectP1NVA TimeEntity"/>
    <n v="1"/>
    <n v="0"/>
    <n v="0"/>
    <n v="0.95"/>
    <n v="4E+20"/>
    <n v="0"/>
    <n v="0"/>
    <n v="0"/>
    <n v="0"/>
    <n v="999"/>
    <n v="0"/>
    <n v="1"/>
    <n v="1"/>
  </r>
  <r>
    <x v="0"/>
    <s v="2026-06-21 15:23:34"/>
    <n v="1"/>
    <x v="2"/>
    <x v="2"/>
    <x v="1"/>
    <n v="0"/>
    <n v="0"/>
    <n v="0"/>
    <n v="0"/>
    <n v="999"/>
    <s v="Unnamed ProjectP1Other TimeEntity"/>
    <n v="1"/>
    <n v="0"/>
    <n v="0"/>
    <n v="0.95"/>
    <n v="4E+20"/>
    <n v="0"/>
    <n v="0"/>
    <n v="0"/>
    <n v="0"/>
    <n v="999"/>
    <n v="0"/>
    <n v="1"/>
    <n v="1"/>
  </r>
  <r>
    <x v="0"/>
    <s v="2026-06-21 15:23:34"/>
    <n v="1"/>
    <x v="2"/>
    <x v="3"/>
    <x v="1"/>
    <n v="9"/>
    <n v="0"/>
    <n v="9"/>
    <n v="9"/>
    <n v="999"/>
    <s v="Unnamed ProjectP1Total TimeEntity"/>
    <n v="1"/>
    <n v="9"/>
    <n v="0"/>
    <n v="0.95"/>
    <n v="4E+20"/>
    <n v="9"/>
    <n v="9"/>
    <n v="9"/>
    <n v="9"/>
    <n v="999"/>
    <n v="0"/>
    <n v="1"/>
    <n v="1"/>
  </r>
  <r>
    <x v="0"/>
    <s v="2026-06-21 15:23:34"/>
    <n v="1"/>
    <x v="2"/>
    <x v="4"/>
    <x v="1"/>
    <n v="0"/>
    <n v="0"/>
    <n v="0"/>
    <n v="0"/>
    <n v="999"/>
    <s v="Unnamed ProjectP1Transfer TimeEntity"/>
    <n v="1"/>
    <n v="0"/>
    <n v="0"/>
    <n v="0.95"/>
    <n v="4E+20"/>
    <n v="0"/>
    <n v="0"/>
    <n v="0"/>
    <n v="0"/>
    <n v="999"/>
    <n v="0"/>
    <n v="1"/>
    <n v="1"/>
  </r>
  <r>
    <x v="0"/>
    <s v="2026-06-21 15:23:34"/>
    <n v="1"/>
    <x v="2"/>
    <x v="5"/>
    <x v="1"/>
    <n v="9"/>
    <n v="0"/>
    <n v="9"/>
    <n v="9"/>
    <n v="999"/>
    <s v="Unnamed ProjectP1VA TimeEntity"/>
    <n v="1"/>
    <n v="9"/>
    <n v="0"/>
    <n v="0.95"/>
    <n v="4E+20"/>
    <n v="9"/>
    <n v="9"/>
    <n v="9"/>
    <n v="9"/>
    <n v="999"/>
    <n v="0"/>
    <n v="1"/>
    <n v="1"/>
  </r>
  <r>
    <x v="0"/>
    <s v="2026-06-21 15:23:34"/>
    <n v="1"/>
    <x v="2"/>
    <x v="6"/>
    <x v="1"/>
    <n v="0"/>
    <n v="0"/>
    <n v="0"/>
    <n v="0"/>
    <n v="999"/>
    <s v="Unnamed ProjectP1Wait TimeEntity"/>
    <n v="1"/>
    <n v="0"/>
    <n v="0"/>
    <n v="0.95"/>
    <n v="4E+20"/>
    <n v="0"/>
    <n v="0"/>
    <n v="0"/>
    <n v="0"/>
    <n v="999"/>
    <n v="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6-21 15:23:34"/>
    <n v="1"/>
    <x v="0"/>
    <x v="0"/>
    <x v="0"/>
    <n v="1001"/>
    <n v="0"/>
    <s v="Unnamed ProjectM1.NumberSeizedTotal Number SeizedResource"/>
    <n v="1"/>
    <n v="1001"/>
    <n v="0"/>
    <n v="0.95"/>
    <n v="4E+20"/>
    <n v="1001"/>
    <n v="1001"/>
  </r>
  <r>
    <x v="0"/>
    <s v="2026-06-21 15:23:34"/>
    <n v="1"/>
    <x v="1"/>
    <x v="1"/>
    <x v="0"/>
    <n v="0.8"/>
    <n v="0"/>
    <s v="Unnamed ProjectM1.ScheduledUtilizationScheduled UtilizationResource"/>
    <n v="1"/>
    <n v="0.8"/>
    <n v="0"/>
    <n v="0.95"/>
    <n v="4E+20"/>
    <n v="0.8"/>
    <n v="0.8"/>
  </r>
  <r>
    <x v="0"/>
    <s v="2026-06-21 15:23:34"/>
    <n v="1"/>
    <x v="2"/>
    <x v="0"/>
    <x v="0"/>
    <n v="1000"/>
    <n v="0"/>
    <s v="Unnamed ProjectM2.NumberSeizedTotal Number SeizedResource"/>
    <n v="1"/>
    <n v="1000"/>
    <n v="0"/>
    <n v="0.95"/>
    <n v="4E+20"/>
    <n v="1000"/>
    <n v="1000"/>
  </r>
  <r>
    <x v="0"/>
    <s v="2026-06-21 15:23:34"/>
    <n v="1"/>
    <x v="3"/>
    <x v="1"/>
    <x v="0"/>
    <n v="0.99920000000000098"/>
    <n v="0"/>
    <s v="Unnamed ProjectM2.ScheduledUtilizationScheduled UtilizationResource"/>
    <n v="1"/>
    <n v="0.99920000000000098"/>
    <n v="0"/>
    <n v="0.95"/>
    <n v="4E+20"/>
    <n v="0.99920000000000098"/>
    <n v="0.99920000000000098"/>
  </r>
  <r>
    <x v="0"/>
    <s v="2026-06-21 15:23:34"/>
    <n v="1"/>
    <x v="4"/>
    <x v="2"/>
    <x v="1"/>
    <n v="1001"/>
    <n v="0"/>
    <s v="Unnamed ProjectP1.NumberInNumber InEntity"/>
    <n v="1"/>
    <n v="1001"/>
    <n v="0"/>
    <n v="0.95"/>
    <n v="4E+20"/>
    <n v="1001"/>
    <n v="1001"/>
  </r>
  <r>
    <x v="0"/>
    <s v="2026-06-21 15:23:34"/>
    <n v="1"/>
    <x v="5"/>
    <x v="3"/>
    <x v="1"/>
    <n v="999"/>
    <n v="0"/>
    <s v="Unnamed ProjectP1.NumberOutNumber OutEntity"/>
    <n v="1"/>
    <n v="999"/>
    <n v="0"/>
    <n v="0.95"/>
    <n v="4E+20"/>
    <n v="999"/>
    <n v="999"/>
  </r>
  <r>
    <x v="0"/>
    <s v="2026-06-21 15:23:34"/>
    <n v="1"/>
    <x v="6"/>
    <x v="3"/>
    <x v="2"/>
    <n v="999"/>
    <n v="0"/>
    <s v="Unnamed ProjectSystem.NumberOutNumber OutSystem"/>
    <n v="1"/>
    <n v="999"/>
    <n v="0"/>
    <n v="0.95"/>
    <n v="4E+20"/>
    <n v="999"/>
    <n v="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6-06-21 15:23:34"/>
    <n v="1"/>
    <x v="0"/>
    <x v="0"/>
    <x v="0"/>
    <n v="0.8"/>
    <n v="3E+20"/>
    <n v="0"/>
    <n v="1"/>
    <n v="1"/>
    <n v="0"/>
    <s v="Unnamed ProjectM1Instantaneous UtilizationResource"/>
    <n v="1"/>
    <n v="0.8"/>
    <n v="0"/>
    <n v="0.95"/>
    <n v="4E+20"/>
    <n v="0.8"/>
    <n v="0.8"/>
    <n v="3E+20"/>
  </r>
  <r>
    <x v="0"/>
    <s v="2026-06-21 15:23:34"/>
    <n v="1"/>
    <x v="0"/>
    <x v="1"/>
    <x v="0"/>
    <n v="0.8"/>
    <n v="3E+20"/>
    <n v="0"/>
    <n v="1"/>
    <n v="1"/>
    <n v="0"/>
    <s v="Unnamed ProjectM1Number BusyResource"/>
    <n v="1"/>
    <n v="0.8"/>
    <n v="0"/>
    <n v="0.95"/>
    <n v="4E+20"/>
    <n v="0.8"/>
    <n v="0.8"/>
    <n v="3E+20"/>
  </r>
  <r>
    <x v="0"/>
    <s v="2026-06-21 15:23:34"/>
    <n v="1"/>
    <x v="0"/>
    <x v="2"/>
    <x v="0"/>
    <n v="1"/>
    <n v="2E+20"/>
    <n v="1"/>
    <n v="1"/>
    <n v="1"/>
    <n v="0"/>
    <s v="Unnamed ProjectM1Number ScheduledResource"/>
    <n v="1"/>
    <n v="1"/>
    <n v="0"/>
    <n v="0.95"/>
    <n v="4E+20"/>
    <n v="1"/>
    <n v="1"/>
    <n v="2E+20"/>
  </r>
  <r>
    <x v="0"/>
    <s v="2026-06-21 15:23:34"/>
    <n v="1"/>
    <x v="1"/>
    <x v="0"/>
    <x v="0"/>
    <n v="0.99920000000000098"/>
    <n v="2E+20"/>
    <n v="0"/>
    <n v="1"/>
    <n v="1"/>
    <n v="0"/>
    <s v="Unnamed ProjectM2Instantaneous UtilizationResource"/>
    <n v="1"/>
    <n v="0.99920000000000098"/>
    <n v="0"/>
    <n v="0.95"/>
    <n v="4E+20"/>
    <n v="0.99920000000000098"/>
    <n v="0.99920000000000098"/>
    <n v="2E+20"/>
  </r>
  <r>
    <x v="0"/>
    <s v="2026-06-21 15:23:34"/>
    <n v="1"/>
    <x v="1"/>
    <x v="1"/>
    <x v="0"/>
    <n v="0.99920000000000098"/>
    <n v="2E+20"/>
    <n v="0"/>
    <n v="1"/>
    <n v="1"/>
    <n v="0"/>
    <s v="Unnamed ProjectM2Number BusyResource"/>
    <n v="1"/>
    <n v="0.99920000000000098"/>
    <n v="0"/>
    <n v="0.95"/>
    <n v="4E+20"/>
    <n v="0.99920000000000098"/>
    <n v="0.99920000000000098"/>
    <n v="2E+20"/>
  </r>
  <r>
    <x v="0"/>
    <s v="2026-06-21 15:23:34"/>
    <n v="1"/>
    <x v="1"/>
    <x v="2"/>
    <x v="0"/>
    <n v="1"/>
    <n v="2E+20"/>
    <n v="1"/>
    <n v="1"/>
    <n v="1"/>
    <n v="0"/>
    <s v="Unnamed ProjectM2Number ScheduledResource"/>
    <n v="1"/>
    <n v="1"/>
    <n v="0"/>
    <n v="0.95"/>
    <n v="4E+20"/>
    <n v="1"/>
    <n v="1"/>
    <n v="2E+20"/>
  </r>
  <r>
    <x v="0"/>
    <s v="2026-06-21 15:23:34"/>
    <n v="1"/>
    <x v="2"/>
    <x v="3"/>
    <x v="1"/>
    <n v="0"/>
    <n v="2E+20"/>
    <n v="0"/>
    <n v="0"/>
    <n v="0"/>
    <n v="0"/>
    <s v="Unnamed ProjectMachine M1.QueueNumber WaitingQueue"/>
    <n v="1"/>
    <n v="0"/>
    <n v="0"/>
    <n v="0.95"/>
    <n v="4E+20"/>
    <n v="0"/>
    <n v="0"/>
    <n v="2E+20"/>
  </r>
  <r>
    <x v="0"/>
    <s v="2026-06-21 15:23:34"/>
    <n v="1"/>
    <x v="3"/>
    <x v="3"/>
    <x v="1"/>
    <n v="0"/>
    <n v="2E+20"/>
    <n v="0"/>
    <n v="1"/>
    <n v="0"/>
    <n v="0"/>
    <s v="Unnamed ProjectMachine M2.QueueNumber WaitingQueue"/>
    <n v="1"/>
    <n v="0"/>
    <n v="0"/>
    <n v="0.95"/>
    <n v="4E+20"/>
    <n v="0"/>
    <n v="0"/>
    <n v="2E+20"/>
  </r>
  <r>
    <x v="0"/>
    <s v="2026-06-21 15:23:34"/>
    <n v="1"/>
    <x v="4"/>
    <x v="4"/>
    <x v="2"/>
    <n v="1.7991999999999999"/>
    <n v="1.8656337222541701E-3"/>
    <n v="0"/>
    <n v="2"/>
    <n v="2"/>
    <n v="0"/>
    <s v="Unnamed ProjectP1WIPEntity"/>
    <n v="1"/>
    <n v="1.7991999999999999"/>
    <n v="0"/>
    <n v="0.95"/>
    <n v="4E+20"/>
    <n v="1.7991999999999999"/>
    <n v="1.7991999999999999"/>
    <n v="1.8656337222541701E-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1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2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3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3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m="1" x="127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8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 v="3"/>
      <x v="1"/>
    </i>
    <i r="1">
      <x v="127"/>
      <x v="3"/>
      <x v="1"/>
    </i>
    <i r="1">
      <x v="128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4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" tableType="queryTable" totalsRowShown="0">
  <autoFilter ref="A1:Y9" xr:uid="{C3D003CA-1AFF-426C-A03D-D3AF5760DF1A}"/>
  <sortState xmlns:xlrd2="http://schemas.microsoft.com/office/spreadsheetml/2017/richdata2" ref="A2:Y9">
    <sortCondition ref="D1:D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0" tableType="queryTable" totalsRowShown="0">
  <autoFilter ref="A1:U10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12.425781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5000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1"/>
  <sheetViews>
    <sheetView tabSelected="1" workbookViewId="0">
      <selection activeCell="A53" sqref="A53"/>
    </sheetView>
  </sheetViews>
  <sheetFormatPr defaultRowHeight="15" x14ac:dyDescent="0.25"/>
  <cols>
    <col min="1" max="1" width="33.28515625" customWidth="1"/>
    <col min="2" max="2" width="20.7109375" bestFit="1" customWidth="1"/>
    <col min="3" max="3" width="15.1406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0.8554687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1001</v>
      </c>
      <c r="O3" t="s">
        <v>67</v>
      </c>
      <c r="P3" t="s">
        <v>83</v>
      </c>
      <c r="Q3" t="s">
        <v>84</v>
      </c>
      <c r="R3" t="s">
        <v>85</v>
      </c>
      <c r="S3" s="5">
        <v>0.8</v>
      </c>
      <c r="T3" s="5">
        <v>3E+20</v>
      </c>
      <c r="U3" s="5">
        <v>0</v>
      </c>
      <c r="V3" s="5">
        <v>0.8</v>
      </c>
      <c r="W3" s="5">
        <v>0.8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101</v>
      </c>
      <c r="AM3" t="s">
        <v>100</v>
      </c>
      <c r="AN3" t="s">
        <v>102</v>
      </c>
      <c r="AO3" s="5">
        <v>999</v>
      </c>
      <c r="AP3" s="5">
        <v>4E+20</v>
      </c>
      <c r="AQ3" s="5">
        <v>0</v>
      </c>
      <c r="AR3" s="5">
        <v>999</v>
      </c>
      <c r="AS3" s="5">
        <v>999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72</v>
      </c>
      <c r="D4" t="s">
        <v>73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1000</v>
      </c>
      <c r="Q4" t="s">
        <v>86</v>
      </c>
      <c r="R4" t="s">
        <v>85</v>
      </c>
      <c r="S4" s="5">
        <v>0.8</v>
      </c>
      <c r="T4" s="5">
        <v>3E+20</v>
      </c>
      <c r="U4" s="5">
        <v>0</v>
      </c>
      <c r="V4" s="5">
        <v>0.8</v>
      </c>
      <c r="W4" s="5">
        <v>0.8</v>
      </c>
      <c r="X4" s="5">
        <v>0</v>
      </c>
      <c r="Y4" s="5">
        <v>1</v>
      </c>
      <c r="AL4" t="s">
        <v>91</v>
      </c>
      <c r="AM4" t="s">
        <v>92</v>
      </c>
      <c r="AN4" t="s">
        <v>85</v>
      </c>
      <c r="AO4" s="5">
        <v>1001</v>
      </c>
      <c r="AP4" s="5">
        <v>4E+20</v>
      </c>
      <c r="AQ4" s="5">
        <v>0</v>
      </c>
      <c r="AR4" s="5">
        <v>1001</v>
      </c>
      <c r="AS4" s="5">
        <v>1001</v>
      </c>
    </row>
    <row r="5" spans="1:52" x14ac:dyDescent="0.25">
      <c r="B5" t="s">
        <v>75</v>
      </c>
      <c r="C5" t="s">
        <v>76</v>
      </c>
      <c r="D5" t="s">
        <v>77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999</v>
      </c>
      <c r="Q5" t="s">
        <v>87</v>
      </c>
      <c r="R5" t="s">
        <v>85</v>
      </c>
      <c r="S5" s="5">
        <v>1</v>
      </c>
      <c r="T5" s="5">
        <v>2E+20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93</v>
      </c>
      <c r="AM5" t="s">
        <v>94</v>
      </c>
      <c r="AN5" t="s">
        <v>85</v>
      </c>
      <c r="AO5" s="5">
        <v>0.8</v>
      </c>
      <c r="AP5" s="5">
        <v>4E+20</v>
      </c>
      <c r="AQ5" s="5">
        <v>0</v>
      </c>
      <c r="AR5" s="5">
        <v>0.8</v>
      </c>
      <c r="AS5" s="5">
        <v>0.8</v>
      </c>
    </row>
    <row r="6" spans="1:52" x14ac:dyDescent="0.25">
      <c r="C6" t="s">
        <v>78</v>
      </c>
      <c r="D6" t="s">
        <v>77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999</v>
      </c>
      <c r="P6" t="s">
        <v>88</v>
      </c>
      <c r="Q6" t="s">
        <v>84</v>
      </c>
      <c r="R6" t="s">
        <v>85</v>
      </c>
      <c r="S6" s="5">
        <v>0.99920000000000098</v>
      </c>
      <c r="T6" s="5">
        <v>2E+20</v>
      </c>
      <c r="U6" s="5">
        <v>0</v>
      </c>
      <c r="V6" s="5">
        <v>0.99920000000000098</v>
      </c>
      <c r="W6" s="5">
        <v>0.99920000000000098</v>
      </c>
      <c r="X6" s="5">
        <v>0</v>
      </c>
      <c r="Y6" s="5">
        <v>1</v>
      </c>
      <c r="AL6" t="s">
        <v>95</v>
      </c>
      <c r="AM6" t="s">
        <v>92</v>
      </c>
      <c r="AN6" t="s">
        <v>85</v>
      </c>
      <c r="AO6" s="5">
        <v>1000</v>
      </c>
      <c r="AP6" s="5">
        <v>4E+20</v>
      </c>
      <c r="AQ6" s="5">
        <v>0</v>
      </c>
      <c r="AR6" s="5">
        <v>1000</v>
      </c>
      <c r="AS6" s="5">
        <v>1000</v>
      </c>
    </row>
    <row r="7" spans="1:52" x14ac:dyDescent="0.25">
      <c r="C7" t="s">
        <v>79</v>
      </c>
      <c r="D7" t="s">
        <v>77</v>
      </c>
      <c r="E7" s="5">
        <v>9</v>
      </c>
      <c r="F7" s="5">
        <v>1</v>
      </c>
      <c r="G7" s="5">
        <v>0</v>
      </c>
      <c r="H7" s="5">
        <v>0</v>
      </c>
      <c r="I7" s="5">
        <v>9</v>
      </c>
      <c r="J7" s="5">
        <v>9</v>
      </c>
      <c r="K7" s="5">
        <v>9</v>
      </c>
      <c r="L7" s="5">
        <v>9</v>
      </c>
      <c r="M7" s="5">
        <v>999</v>
      </c>
      <c r="Q7" t="s">
        <v>86</v>
      </c>
      <c r="R7" t="s">
        <v>85</v>
      </c>
      <c r="S7" s="5">
        <v>0.99920000000000098</v>
      </c>
      <c r="T7" s="5">
        <v>2E+20</v>
      </c>
      <c r="U7" s="5">
        <v>0</v>
      </c>
      <c r="V7" s="5">
        <v>0.99920000000000098</v>
      </c>
      <c r="W7" s="5">
        <v>0.99920000000000098</v>
      </c>
      <c r="X7" s="5">
        <v>0</v>
      </c>
      <c r="Y7" s="5">
        <v>1</v>
      </c>
      <c r="AL7" t="s">
        <v>96</v>
      </c>
      <c r="AM7" t="s">
        <v>94</v>
      </c>
      <c r="AN7" t="s">
        <v>85</v>
      </c>
      <c r="AO7" s="5">
        <v>0.99920000000000098</v>
      </c>
      <c r="AP7" s="5">
        <v>4E+20</v>
      </c>
      <c r="AQ7" s="5">
        <v>0</v>
      </c>
      <c r="AR7" s="5">
        <v>0.99920000000000098</v>
      </c>
      <c r="AS7" s="5">
        <v>0.99920000000000098</v>
      </c>
    </row>
    <row r="8" spans="1:52" x14ac:dyDescent="0.25">
      <c r="C8" t="s">
        <v>80</v>
      </c>
      <c r="D8" t="s">
        <v>77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999</v>
      </c>
      <c r="Q8" t="s">
        <v>87</v>
      </c>
      <c r="R8" t="s">
        <v>85</v>
      </c>
      <c r="S8" s="5">
        <v>1</v>
      </c>
      <c r="T8" s="5">
        <v>2E+20</v>
      </c>
      <c r="U8" s="5">
        <v>0</v>
      </c>
      <c r="V8" s="5">
        <v>1</v>
      </c>
      <c r="W8" s="5">
        <v>1</v>
      </c>
      <c r="X8" s="5">
        <v>1</v>
      </c>
      <c r="Y8" s="5">
        <v>1</v>
      </c>
      <c r="AL8" t="s">
        <v>97</v>
      </c>
      <c r="AM8" t="s">
        <v>98</v>
      </c>
      <c r="AN8" t="s">
        <v>77</v>
      </c>
      <c r="AO8" s="5">
        <v>1001</v>
      </c>
      <c r="AP8" s="5">
        <v>4E+20</v>
      </c>
      <c r="AQ8" s="5">
        <v>0</v>
      </c>
      <c r="AR8" s="5">
        <v>1001</v>
      </c>
      <c r="AS8" s="5">
        <v>1001</v>
      </c>
    </row>
    <row r="9" spans="1:52" x14ac:dyDescent="0.25">
      <c r="C9" t="s">
        <v>81</v>
      </c>
      <c r="D9" t="s">
        <v>77</v>
      </c>
      <c r="E9" s="5">
        <v>9</v>
      </c>
      <c r="F9" s="5">
        <v>1</v>
      </c>
      <c r="G9" s="5">
        <v>0</v>
      </c>
      <c r="H9" s="5">
        <v>0</v>
      </c>
      <c r="I9" s="5">
        <v>9</v>
      </c>
      <c r="J9" s="5">
        <v>9</v>
      </c>
      <c r="K9" s="5">
        <v>9</v>
      </c>
      <c r="L9" s="5">
        <v>9</v>
      </c>
      <c r="M9" s="5">
        <v>999</v>
      </c>
      <c r="P9" t="s">
        <v>71</v>
      </c>
      <c r="Q9" t="s">
        <v>89</v>
      </c>
      <c r="R9" t="s">
        <v>73</v>
      </c>
      <c r="S9" s="5">
        <v>0</v>
      </c>
      <c r="T9" s="5">
        <v>2E+20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99</v>
      </c>
      <c r="AM9" t="s">
        <v>100</v>
      </c>
      <c r="AN9" t="s">
        <v>77</v>
      </c>
      <c r="AO9" s="5">
        <v>999</v>
      </c>
      <c r="AP9" s="5">
        <v>4E+20</v>
      </c>
      <c r="AQ9" s="5">
        <v>0</v>
      </c>
      <c r="AR9" s="5">
        <v>999</v>
      </c>
      <c r="AS9" s="5">
        <v>999</v>
      </c>
    </row>
    <row r="10" spans="1:52" x14ac:dyDescent="0.25">
      <c r="C10" t="s">
        <v>82</v>
      </c>
      <c r="D10" t="s">
        <v>77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999</v>
      </c>
      <c r="P10" t="s">
        <v>74</v>
      </c>
      <c r="Q10" t="s">
        <v>89</v>
      </c>
      <c r="R10" t="s">
        <v>73</v>
      </c>
      <c r="S10" s="5">
        <v>0</v>
      </c>
      <c r="T10" s="5">
        <v>2E+20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</row>
    <row r="11" spans="1:52" x14ac:dyDescent="0.25">
      <c r="P11" t="s">
        <v>75</v>
      </c>
      <c r="Q11" t="s">
        <v>90</v>
      </c>
      <c r="R11" t="s">
        <v>77</v>
      </c>
      <c r="S11" s="5">
        <v>1.7991999999999999</v>
      </c>
      <c r="T11" s="5">
        <v>1.8656337222541701E-3</v>
      </c>
      <c r="U11" s="5">
        <v>0</v>
      </c>
      <c r="V11" s="5">
        <v>1.7991999999999999</v>
      </c>
      <c r="W11" s="5">
        <v>1.7991999999999999</v>
      </c>
      <c r="X11" s="5">
        <v>0</v>
      </c>
      <c r="Y11" s="5">
        <v>2</v>
      </c>
    </row>
  </sheetData>
  <dataConsolidate/>
  <conditionalFormatting pivot="1" sqref="G3:G10">
    <cfRule type="expression" dxfId="31" priority="14">
      <formula>G3=200000000000000000000</formula>
    </cfRule>
  </conditionalFormatting>
  <conditionalFormatting pivot="1" sqref="T3:T11">
    <cfRule type="expression" dxfId="30" priority="13">
      <formula>T3=200000000000000000000</formula>
    </cfRule>
  </conditionalFormatting>
  <conditionalFormatting pivot="1" sqref="T3:T11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11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"/>
  <sheetViews>
    <sheetView workbookViewId="0">
      <selection activeCell="L39" sqref="L39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8.5703125" bestFit="1" customWidth="1"/>
    <col min="5" max="5" width="13.28515625" bestFit="1" customWidth="1"/>
    <col min="6" max="6" width="9.28515625" bestFit="1" customWidth="1"/>
    <col min="7" max="7" width="10.5703125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2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1001</v>
      </c>
      <c r="L2" t="str">
        <f>DiscreteStatsTable[[#This Row],[ProjectName]]&amp;DiscreteStatsTable[[#This Row],[Name]]&amp;DiscreteStatsTable[[#This Row],[Type]]&amp;DiscreteStatsTable[[#This Row],[Source]]</f>
        <v>Unnamed ProjectMachine M1.QueueWaiting TimeQueue</v>
      </c>
      <c r="M2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>
        <f t="array" ref="R2">MIN(IF((DiscreteStatsTable[GroupByKey]=DiscreteStatsTable[[#This Row],[GroupByKey]]),(DiscreteStatsTable[GroupByKey]=DiscreteStatsTable[[#This Row],[GroupByKey]])*DiscreteStatsTable[Average]))</f>
        <v>0</v>
      </c>
      <c r="S2">
        <f t="array" ref="S2">MAX(IF((DiscreteStatsTable[GroupByKey]=DiscreteStatsTable[[#This Row],[GroupByKey]]),(DiscreteStatsTable[GroupByKey]=DiscreteStatsTable[[#This Row],[GroupByKey]])*DiscreteStatsTable[Average]))</f>
        <v>0</v>
      </c>
      <c r="T2">
        <f t="array" ref="T2">MIN(IF((DiscreteStatsTable[GroupByKey]=DiscreteStatsTable[[#This Row],[GroupByKey]]),(DiscreteStatsTable[GroupByKey]=DiscreteStatsTable[[#This Row],[GroupByKey]])*DiscreteStatsTable[Minimum]))</f>
        <v>0</v>
      </c>
      <c r="U2">
        <f t="array" ref="U2">MAX(IF((DiscreteStatsTable[GroupByKey]=DiscreteStatsTable[[#This Row],[GroupByKey]]),(DiscreteStatsTable[GroupByKey]=DiscreteStatsTable[[#This Row],[GroupByKey]])*DiscreteStatsTable[Maximum]))</f>
        <v>0</v>
      </c>
      <c r="V2">
        <f t="array" ref="V2">IFERROR(AVERAGE(IF((DiscreteStatsTable[GroupByKey]=DiscreteStatsTable[[#This Row],[GroupByKey]]),(DiscreteStatsTable[GroupByKey]=DiscreteStatsTable[[#This Row],[GroupByKey]])*DiscreteStatsTable[NumberObservations])),0)</f>
        <v>1001</v>
      </c>
      <c r="W2">
        <f>IF((DiscreteStatsTable[[#This Row],[RepsRequested]]&gt;1),DiscreteStatsTable[[#This Row],[HalfWidth]],DiscreteStatsTable[[#This Row],[BatchMeansHalfWidth]])</f>
        <v>0</v>
      </c>
      <c r="X2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72</v>
      </c>
      <c r="F3" t="s">
        <v>73</v>
      </c>
      <c r="G3">
        <v>0</v>
      </c>
      <c r="H3">
        <v>0</v>
      </c>
      <c r="I3">
        <v>0</v>
      </c>
      <c r="J3">
        <v>0</v>
      </c>
      <c r="K3">
        <v>1000</v>
      </c>
      <c r="L3" t="str">
        <f>DiscreteStatsTable[[#This Row],[ProjectName]]&amp;DiscreteStatsTable[[#This Row],[Name]]&amp;DiscreteStatsTable[[#This Row],[Type]]&amp;DiscreteStatsTable[[#This Row],[Source]]</f>
        <v>Unnamed ProjectMachine M2.QueueWaiting TimeQueue</v>
      </c>
      <c r="M3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>
        <f t="array" ref="R3">MIN(IF((DiscreteStatsTable[GroupByKey]=DiscreteStatsTable[[#This Row],[GroupByKey]]),(DiscreteStatsTable[GroupByKey]=DiscreteStatsTable[[#This Row],[GroupByKey]])*DiscreteStatsTable[Average]))</f>
        <v>0</v>
      </c>
      <c r="S3">
        <f t="array" ref="S3">MAX(IF((DiscreteStatsTable[GroupByKey]=DiscreteStatsTable[[#This Row],[GroupByKey]]),(DiscreteStatsTable[GroupByKey]=DiscreteStatsTable[[#This Row],[GroupByKey]])*DiscreteStatsTable[Average]))</f>
        <v>0</v>
      </c>
      <c r="T3">
        <f t="array" ref="T3">MIN(IF((DiscreteStatsTable[GroupByKey]=DiscreteStatsTable[[#This Row],[GroupByKey]]),(DiscreteStatsTable[GroupByKey]=DiscreteStatsTable[[#This Row],[GroupByKey]])*DiscreteStatsTable[Minimum]))</f>
        <v>0</v>
      </c>
      <c r="U3">
        <f t="array" ref="U3">MAX(IF((DiscreteStatsTable[GroupByKey]=DiscreteStatsTable[[#This Row],[GroupByKey]]),(DiscreteStatsTable[GroupByKey]=DiscreteStatsTable[[#This Row],[GroupByKey]])*DiscreteStatsTable[Maximum]))</f>
        <v>0</v>
      </c>
      <c r="V3">
        <f t="array" ref="V3">IFERROR(AVERAGE(IF((DiscreteStatsTable[GroupByKey]=DiscreteStatsTable[[#This Row],[GroupByKey]]),(DiscreteStatsTable[GroupByKey]=DiscreteStatsTable[[#This Row],[GroupByKey]])*DiscreteStatsTable[NumberObservations])),0)</f>
        <v>1000</v>
      </c>
      <c r="W3">
        <f>IF((DiscreteStatsTable[[#This Row],[RepsRequested]]&gt;1),DiscreteStatsTable[[#This Row],[HalfWidth]],DiscreteStatsTable[[#This Row],[BatchMeansHalfWidth]])</f>
        <v>0</v>
      </c>
      <c r="X3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75</v>
      </c>
      <c r="E4" t="s">
        <v>76</v>
      </c>
      <c r="F4" t="s">
        <v>77</v>
      </c>
      <c r="G4">
        <v>0</v>
      </c>
      <c r="H4">
        <v>0</v>
      </c>
      <c r="I4">
        <v>0</v>
      </c>
      <c r="J4">
        <v>0</v>
      </c>
      <c r="K4">
        <v>999</v>
      </c>
      <c r="L4" t="str">
        <f>DiscreteStatsTable[[#This Row],[ProjectName]]&amp;DiscreteStatsTable[[#This Row],[Name]]&amp;DiscreteStatsTable[[#This Row],[Type]]&amp;DiscreteStatsTable[[#This Row],[Source]]</f>
        <v>Unnamed ProjectP1NVA TimeEntity</v>
      </c>
      <c r="M4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>
        <f t="array" ref="R4">MIN(IF((DiscreteStatsTable[GroupByKey]=DiscreteStatsTable[[#This Row],[GroupByKey]]),(DiscreteStatsTable[GroupByKey]=DiscreteStatsTable[[#This Row],[GroupByKey]])*DiscreteStatsTable[Average]))</f>
        <v>0</v>
      </c>
      <c r="S4">
        <f t="array" ref="S4">MAX(IF((DiscreteStatsTable[GroupByKey]=DiscreteStatsTable[[#This Row],[GroupByKey]]),(DiscreteStatsTable[GroupByKey]=DiscreteStatsTable[[#This Row],[GroupByKey]])*DiscreteStatsTable[Average]))</f>
        <v>0</v>
      </c>
      <c r="T4">
        <f t="array" ref="T4">MIN(IF((DiscreteStatsTable[GroupByKey]=DiscreteStatsTable[[#This Row],[GroupByKey]]),(DiscreteStatsTable[GroupByKey]=DiscreteStatsTable[[#This Row],[GroupByKey]])*DiscreteStatsTable[Minimum]))</f>
        <v>0</v>
      </c>
      <c r="U4">
        <f t="array" ref="U4">MAX(IF((DiscreteStatsTable[GroupByKey]=DiscreteStatsTable[[#This Row],[GroupByKey]]),(DiscreteStatsTable[GroupByKey]=DiscreteStatsTable[[#This Row],[GroupByKey]])*DiscreteStatsTable[Maximum]))</f>
        <v>0</v>
      </c>
      <c r="V4">
        <f t="array" ref="V4">IFERROR(AVERAGE(IF((DiscreteStatsTable[GroupByKey]=DiscreteStatsTable[[#This Row],[GroupByKey]]),(DiscreteStatsTable[GroupByKey]=DiscreteStatsTable[[#This Row],[GroupByKey]])*DiscreteStatsTable[NumberObservations])),0)</f>
        <v>999</v>
      </c>
      <c r="W4">
        <f>IF((DiscreteStatsTable[[#This Row],[RepsRequested]]&gt;1),DiscreteStatsTable[[#This Row],[HalfWidth]],DiscreteStatsTable[[#This Row],[BatchMeansHalfWidth]])</f>
        <v>0</v>
      </c>
      <c r="X4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75</v>
      </c>
      <c r="E5" t="s">
        <v>78</v>
      </c>
      <c r="F5" t="s">
        <v>77</v>
      </c>
      <c r="G5">
        <v>0</v>
      </c>
      <c r="H5">
        <v>0</v>
      </c>
      <c r="I5">
        <v>0</v>
      </c>
      <c r="J5">
        <v>0</v>
      </c>
      <c r="K5">
        <v>999</v>
      </c>
      <c r="L5" t="str">
        <f>DiscreteStatsTable[[#This Row],[ProjectName]]&amp;DiscreteStatsTable[[#This Row],[Name]]&amp;DiscreteStatsTable[[#This Row],[Type]]&amp;DiscreteStatsTable[[#This Row],[Source]]</f>
        <v>Unnamed ProjectP1Other TimeEntity</v>
      </c>
      <c r="M5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>
        <f t="array" ref="R5">MIN(IF((DiscreteStatsTable[GroupByKey]=DiscreteStatsTable[[#This Row],[GroupByKey]]),(DiscreteStatsTable[GroupByKey]=DiscreteStatsTable[[#This Row],[GroupByKey]])*DiscreteStatsTable[Average]))</f>
        <v>0</v>
      </c>
      <c r="S5">
        <f t="array" ref="S5">MAX(IF((DiscreteStatsTable[GroupByKey]=DiscreteStatsTable[[#This Row],[GroupByKey]]),(DiscreteStatsTable[GroupByKey]=DiscreteStatsTable[[#This Row],[GroupByKey]])*DiscreteStatsTable[Average]))</f>
        <v>0</v>
      </c>
      <c r="T5">
        <f t="array" ref="T5">MIN(IF((DiscreteStatsTable[GroupByKey]=DiscreteStatsTable[[#This Row],[GroupByKey]]),(DiscreteStatsTable[GroupByKey]=DiscreteStatsTable[[#This Row],[GroupByKey]])*DiscreteStatsTable[Minimum]))</f>
        <v>0</v>
      </c>
      <c r="U5">
        <f t="array" ref="U5">MAX(IF((DiscreteStatsTable[GroupByKey]=DiscreteStatsTable[[#This Row],[GroupByKey]]),(DiscreteStatsTable[GroupByKey]=DiscreteStatsTable[[#This Row],[GroupByKey]])*DiscreteStatsTable[Maximum]))</f>
        <v>0</v>
      </c>
      <c r="V5">
        <f t="array" ref="V5">IFERROR(AVERAGE(IF((DiscreteStatsTable[GroupByKey]=DiscreteStatsTable[[#This Row],[GroupByKey]]),(DiscreteStatsTable[GroupByKey]=DiscreteStatsTable[[#This Row],[GroupByKey]])*DiscreteStatsTable[NumberObservations])),0)</f>
        <v>999</v>
      </c>
      <c r="W5">
        <f>IF((DiscreteStatsTable[[#This Row],[RepsRequested]]&gt;1),DiscreteStatsTable[[#This Row],[HalfWidth]],DiscreteStatsTable[[#This Row],[BatchMeansHalfWidth]])</f>
        <v>0</v>
      </c>
      <c r="X5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75</v>
      </c>
      <c r="E6" t="s">
        <v>79</v>
      </c>
      <c r="F6" t="s">
        <v>77</v>
      </c>
      <c r="G6">
        <v>9</v>
      </c>
      <c r="H6">
        <v>0</v>
      </c>
      <c r="I6">
        <v>9</v>
      </c>
      <c r="J6">
        <v>9</v>
      </c>
      <c r="K6">
        <v>999</v>
      </c>
      <c r="L6" t="str">
        <f>DiscreteStatsTable[[#This Row],[ProjectName]]&amp;DiscreteStatsTable[[#This Row],[Name]]&amp;DiscreteStatsTable[[#This Row],[Type]]&amp;DiscreteStatsTable[[#This Row],[Source]]</f>
        <v>Unnamed ProjectP1Total TimeEntity</v>
      </c>
      <c r="M6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>
        <f t="array" ref="N6">IFERROR(AVERAGE(IF((DiscreteStatsTable[GroupByKey]=DiscreteStatsTable[[#This Row],[GroupByKey]]),(DiscreteStatsTable[GroupByKey]=DiscreteStatsTable[[#This Row],[GroupByKey]])*DiscreteStatsTable[Average])),0)</f>
        <v>9</v>
      </c>
      <c r="O6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>
        <f t="array" ref="R6">MIN(IF((DiscreteStatsTable[GroupByKey]=DiscreteStatsTable[[#This Row],[GroupByKey]]),(DiscreteStatsTable[GroupByKey]=DiscreteStatsTable[[#This Row],[GroupByKey]])*DiscreteStatsTable[Average]))</f>
        <v>9</v>
      </c>
      <c r="S6">
        <f t="array" ref="S6">MAX(IF((DiscreteStatsTable[GroupByKey]=DiscreteStatsTable[[#This Row],[GroupByKey]]),(DiscreteStatsTable[GroupByKey]=DiscreteStatsTable[[#This Row],[GroupByKey]])*DiscreteStatsTable[Average]))</f>
        <v>9</v>
      </c>
      <c r="T6">
        <f t="array" ref="T6">MIN(IF((DiscreteStatsTable[GroupByKey]=DiscreteStatsTable[[#This Row],[GroupByKey]]),(DiscreteStatsTable[GroupByKey]=DiscreteStatsTable[[#This Row],[GroupByKey]])*DiscreteStatsTable[Minimum]))</f>
        <v>9</v>
      </c>
      <c r="U6">
        <f t="array" ref="U6">MAX(IF((DiscreteStatsTable[GroupByKey]=DiscreteStatsTable[[#This Row],[GroupByKey]]),(DiscreteStatsTable[GroupByKey]=DiscreteStatsTable[[#This Row],[GroupByKey]])*DiscreteStatsTable[Maximum]))</f>
        <v>9</v>
      </c>
      <c r="V6">
        <f t="array" ref="V6">IFERROR(AVERAGE(IF((DiscreteStatsTable[GroupByKey]=DiscreteStatsTable[[#This Row],[GroupByKey]]),(DiscreteStatsTable[GroupByKey]=DiscreteStatsTable[[#This Row],[GroupByKey]])*DiscreteStatsTable[NumberObservations])),0)</f>
        <v>999</v>
      </c>
      <c r="W6">
        <f>IF((DiscreteStatsTable[[#This Row],[RepsRequested]]&gt;1),DiscreteStatsTable[[#This Row],[HalfWidth]],DiscreteStatsTable[[#This Row],[BatchMeansHalfWidth]])</f>
        <v>0</v>
      </c>
      <c r="X6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75</v>
      </c>
      <c r="E7" t="s">
        <v>80</v>
      </c>
      <c r="F7" t="s">
        <v>77</v>
      </c>
      <c r="G7">
        <v>0</v>
      </c>
      <c r="H7">
        <v>0</v>
      </c>
      <c r="I7">
        <v>0</v>
      </c>
      <c r="J7">
        <v>0</v>
      </c>
      <c r="K7">
        <v>999</v>
      </c>
      <c r="L7" t="str">
        <f>DiscreteStatsTable[[#This Row],[ProjectName]]&amp;DiscreteStatsTable[[#This Row],[Name]]&amp;DiscreteStatsTable[[#This Row],[Type]]&amp;DiscreteStatsTable[[#This Row],[Source]]</f>
        <v>Unnamed ProjectP1Transfer TimeEntity</v>
      </c>
      <c r="M7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>
        <f t="array" ref="R7">MIN(IF((DiscreteStatsTable[GroupByKey]=DiscreteStatsTable[[#This Row],[GroupByKey]]),(DiscreteStatsTable[GroupByKey]=DiscreteStatsTable[[#This Row],[GroupByKey]])*DiscreteStatsTable[Average]))</f>
        <v>0</v>
      </c>
      <c r="S7">
        <f t="array" ref="S7">MAX(IF((DiscreteStatsTable[GroupByKey]=DiscreteStatsTable[[#This Row],[GroupByKey]]),(DiscreteStatsTable[GroupByKey]=DiscreteStatsTable[[#This Row],[GroupByKey]])*DiscreteStatsTable[Average]))</f>
        <v>0</v>
      </c>
      <c r="T7">
        <f t="array" ref="T7">MIN(IF((DiscreteStatsTable[GroupByKey]=DiscreteStatsTable[[#This Row],[GroupByKey]]),(DiscreteStatsTable[GroupByKey]=DiscreteStatsTable[[#This Row],[GroupByKey]])*DiscreteStatsTable[Minimum]))</f>
        <v>0</v>
      </c>
      <c r="U7">
        <f t="array" ref="U7">MAX(IF((DiscreteStatsTable[GroupByKey]=DiscreteStatsTable[[#This Row],[GroupByKey]]),(DiscreteStatsTable[GroupByKey]=DiscreteStatsTable[[#This Row],[GroupByKey]])*DiscreteStatsTable[Maximum]))</f>
        <v>0</v>
      </c>
      <c r="V7">
        <f t="array" ref="V7">IFERROR(AVERAGE(IF((DiscreteStatsTable[GroupByKey]=DiscreteStatsTable[[#This Row],[GroupByKey]]),(DiscreteStatsTable[GroupByKey]=DiscreteStatsTable[[#This Row],[GroupByKey]])*DiscreteStatsTable[NumberObservations])),0)</f>
        <v>999</v>
      </c>
      <c r="W7">
        <f>IF((DiscreteStatsTable[[#This Row],[RepsRequested]]&gt;1),DiscreteStatsTable[[#This Row],[HalfWidth]],DiscreteStatsTable[[#This Row],[BatchMeansHalfWidth]])</f>
        <v>0</v>
      </c>
      <c r="X7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75</v>
      </c>
      <c r="E8" t="s">
        <v>81</v>
      </c>
      <c r="F8" t="s">
        <v>77</v>
      </c>
      <c r="G8">
        <v>9</v>
      </c>
      <c r="H8">
        <v>0</v>
      </c>
      <c r="I8">
        <v>9</v>
      </c>
      <c r="J8">
        <v>9</v>
      </c>
      <c r="K8">
        <v>999</v>
      </c>
      <c r="L8" t="str">
        <f>DiscreteStatsTable[[#This Row],[ProjectName]]&amp;DiscreteStatsTable[[#This Row],[Name]]&amp;DiscreteStatsTable[[#This Row],[Type]]&amp;DiscreteStatsTable[[#This Row],[Source]]</f>
        <v>Unnamed ProjectP1VA TimeEntity</v>
      </c>
      <c r="M8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>
        <f t="array" ref="N8">IFERROR(AVERAGE(IF((DiscreteStatsTable[GroupByKey]=DiscreteStatsTable[[#This Row],[GroupByKey]]),(DiscreteStatsTable[GroupByKey]=DiscreteStatsTable[[#This Row],[GroupByKey]])*DiscreteStatsTable[Average])),0)</f>
        <v>9</v>
      </c>
      <c r="O8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>
        <f t="array" ref="R8">MIN(IF((DiscreteStatsTable[GroupByKey]=DiscreteStatsTable[[#This Row],[GroupByKey]]),(DiscreteStatsTable[GroupByKey]=DiscreteStatsTable[[#This Row],[GroupByKey]])*DiscreteStatsTable[Average]))</f>
        <v>9</v>
      </c>
      <c r="S8">
        <f t="array" ref="S8">MAX(IF((DiscreteStatsTable[GroupByKey]=DiscreteStatsTable[[#This Row],[GroupByKey]]),(DiscreteStatsTable[GroupByKey]=DiscreteStatsTable[[#This Row],[GroupByKey]])*DiscreteStatsTable[Average]))</f>
        <v>9</v>
      </c>
      <c r="T8">
        <f t="array" ref="T8">MIN(IF((DiscreteStatsTable[GroupByKey]=DiscreteStatsTable[[#This Row],[GroupByKey]]),(DiscreteStatsTable[GroupByKey]=DiscreteStatsTable[[#This Row],[GroupByKey]])*DiscreteStatsTable[Minimum]))</f>
        <v>9</v>
      </c>
      <c r="U8">
        <f t="array" ref="U8">MAX(IF((DiscreteStatsTable[GroupByKey]=DiscreteStatsTable[[#This Row],[GroupByKey]]),(DiscreteStatsTable[GroupByKey]=DiscreteStatsTable[[#This Row],[GroupByKey]])*DiscreteStatsTable[Maximum]))</f>
        <v>9</v>
      </c>
      <c r="V8">
        <f t="array" ref="V8">IFERROR(AVERAGE(IF((DiscreteStatsTable[GroupByKey]=DiscreteStatsTable[[#This Row],[GroupByKey]]),(DiscreteStatsTable[GroupByKey]=DiscreteStatsTable[[#This Row],[GroupByKey]])*DiscreteStatsTable[NumberObservations])),0)</f>
        <v>999</v>
      </c>
      <c r="W8">
        <f>IF((DiscreteStatsTable[[#This Row],[RepsRequested]]&gt;1),DiscreteStatsTable[[#This Row],[HalfWidth]],DiscreteStatsTable[[#This Row],[BatchMeansHalfWidth]])</f>
        <v>0</v>
      </c>
      <c r="X8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75</v>
      </c>
      <c r="E9" t="s">
        <v>82</v>
      </c>
      <c r="F9" t="s">
        <v>77</v>
      </c>
      <c r="G9">
        <v>0</v>
      </c>
      <c r="H9">
        <v>0</v>
      </c>
      <c r="I9">
        <v>0</v>
      </c>
      <c r="J9">
        <v>0</v>
      </c>
      <c r="K9">
        <v>999</v>
      </c>
      <c r="L9" t="str">
        <f>DiscreteStatsTable[[#This Row],[ProjectName]]&amp;DiscreteStatsTable[[#This Row],[Name]]&amp;DiscreteStatsTable[[#This Row],[Type]]&amp;DiscreteStatsTable[[#This Row],[Source]]</f>
        <v>Unnamed ProjectP1Wait TimeEntity</v>
      </c>
      <c r="M9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>
        <f t="array" ref="R9">MIN(IF((DiscreteStatsTable[GroupByKey]=DiscreteStatsTable[[#This Row],[GroupByKey]]),(DiscreteStatsTable[GroupByKey]=DiscreteStatsTable[[#This Row],[GroupByKey]])*DiscreteStatsTable[Average]))</f>
        <v>0</v>
      </c>
      <c r="S9">
        <f t="array" ref="S9">MAX(IF((DiscreteStatsTable[GroupByKey]=DiscreteStatsTable[[#This Row],[GroupByKey]]),(DiscreteStatsTable[GroupByKey]=DiscreteStatsTable[[#This Row],[GroupByKey]])*DiscreteStatsTable[Average]))</f>
        <v>0</v>
      </c>
      <c r="T9">
        <f t="array" ref="T9">MIN(IF((DiscreteStatsTable[GroupByKey]=DiscreteStatsTable[[#This Row],[GroupByKey]]),(DiscreteStatsTable[GroupByKey]=DiscreteStatsTable[[#This Row],[GroupByKey]])*DiscreteStatsTable[Minimum]))</f>
        <v>0</v>
      </c>
      <c r="U9">
        <f t="array" ref="U9">MAX(IF((DiscreteStatsTable[GroupByKey]=DiscreteStatsTable[[#This Row],[GroupByKey]]),(DiscreteStatsTable[GroupByKey]=DiscreteStatsTable[[#This Row],[GroupByKey]])*DiscreteStatsTable[Maximum]))</f>
        <v>0</v>
      </c>
      <c r="V9">
        <f t="array" ref="V9">IFERROR(AVERAGE(IF((DiscreteStatsTable[GroupByKey]=DiscreteStatsTable[[#This Row],[GroupByKey]]),(DiscreteStatsTable[GroupByKey]=DiscreteStatsTable[[#This Row],[GroupByKey]])*DiscreteStatsTable[NumberObservations])),0)</f>
        <v>999</v>
      </c>
      <c r="W9">
        <f>IF((DiscreteStatsTable[[#This Row],[RepsRequested]]&gt;1),DiscreteStatsTable[[#This Row],[HalfWidth]],DiscreteStatsTable[[#This Row],[BatchMeansHalfWidth]])</f>
        <v>0</v>
      </c>
      <c r="X9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</sheetData>
  <phoneticPr fontId="2" type="noConversion"/>
  <conditionalFormatting sqref="H2:H9 Q2:Q9">
    <cfRule type="expression" dxfId="20" priority="23">
      <formula>H2=200000000000000000000</formula>
    </cfRule>
  </conditionalFormatting>
  <conditionalFormatting sqref="H2:H9">
    <cfRule type="expression" dxfId="19" priority="21">
      <formula>H2=300000000000000000000</formula>
    </cfRule>
  </conditionalFormatting>
  <conditionalFormatting sqref="L2:Y9">
    <cfRule type="expression" dxfId="18" priority="19">
      <formula>MOD(ROW(),2)=0</formula>
    </cfRule>
  </conditionalFormatting>
  <conditionalFormatting sqref="Y2:Y9">
    <cfRule type="expression" dxfId="17" priority="14">
      <formula>Y2=0</formula>
    </cfRule>
    <cfRule type="expression" dxfId="16" priority="16">
      <formula>Y2=1</formula>
    </cfRule>
  </conditionalFormatting>
  <conditionalFormatting sqref="Y3:Y9">
    <cfRule type="expression" dxfId="15" priority="15">
      <formula>Y3=1</formula>
    </cfRule>
  </conditionalFormatting>
  <conditionalFormatting sqref="W2:W9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9 W2:W9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0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8.5703125" bestFit="1" customWidth="1"/>
    <col min="5" max="5" width="23.5703125" bestFit="1" customWidth="1"/>
    <col min="6" max="6" width="9.28515625" bestFit="1" customWidth="1"/>
    <col min="7" max="7" width="10.5703125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5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83</v>
      </c>
      <c r="E2" t="s">
        <v>84</v>
      </c>
      <c r="F2" t="s">
        <v>85</v>
      </c>
      <c r="G2">
        <v>0.8</v>
      </c>
      <c r="H2">
        <v>3E+20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ProjectM1Instantaneous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0.8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0.8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0.8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25">
      <c r="A3" t="s">
        <v>67</v>
      </c>
      <c r="B3" t="s">
        <v>70</v>
      </c>
      <c r="C3">
        <v>1</v>
      </c>
      <c r="D3" t="s">
        <v>83</v>
      </c>
      <c r="E3" t="s">
        <v>86</v>
      </c>
      <c r="F3" t="s">
        <v>85</v>
      </c>
      <c r="G3">
        <v>0.8</v>
      </c>
      <c r="H3">
        <v>3E+20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ProjectM1Number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0.8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0.8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0.8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25">
      <c r="A4" t="s">
        <v>67</v>
      </c>
      <c r="B4" t="s">
        <v>70</v>
      </c>
      <c r="C4">
        <v>1</v>
      </c>
      <c r="D4" t="s">
        <v>83</v>
      </c>
      <c r="E4" t="s">
        <v>87</v>
      </c>
      <c r="F4" t="s">
        <v>85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ProjectM1Number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88</v>
      </c>
      <c r="E5" t="s">
        <v>84</v>
      </c>
      <c r="F5" t="s">
        <v>85</v>
      </c>
      <c r="G5">
        <v>0.99920000000000098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ProjectM2Instantaneous UtilizationResource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0.99920000000000098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0.99920000000000098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0.99920000000000098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25">
      <c r="A6" t="s">
        <v>67</v>
      </c>
      <c r="B6" t="s">
        <v>70</v>
      </c>
      <c r="C6">
        <v>1</v>
      </c>
      <c r="D6" t="s">
        <v>88</v>
      </c>
      <c r="E6" t="s">
        <v>86</v>
      </c>
      <c r="F6" t="s">
        <v>85</v>
      </c>
      <c r="G6">
        <v>0.99920000000000098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ProjectM2Number BusyResource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0.99920000000000098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0.99920000000000098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0.99920000000000098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70</v>
      </c>
      <c r="C7">
        <v>1</v>
      </c>
      <c r="D7" t="s">
        <v>88</v>
      </c>
      <c r="E7" t="s">
        <v>87</v>
      </c>
      <c r="F7" t="s">
        <v>85</v>
      </c>
      <c r="G7">
        <v>1</v>
      </c>
      <c r="H7">
        <v>2E+20</v>
      </c>
      <c r="I7">
        <v>1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ProjectM2Number ScheduledResource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1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1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25">
      <c r="A8" t="s">
        <v>67</v>
      </c>
      <c r="B8" t="s">
        <v>70</v>
      </c>
      <c r="C8">
        <v>1</v>
      </c>
      <c r="D8" t="s">
        <v>71</v>
      </c>
      <c r="E8" t="s">
        <v>89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ProjectMachine M1.QueueNumber WaitingQueue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25">
      <c r="A9" t="s">
        <v>67</v>
      </c>
      <c r="B9" t="s">
        <v>70</v>
      </c>
      <c r="C9">
        <v>1</v>
      </c>
      <c r="D9" t="s">
        <v>74</v>
      </c>
      <c r="E9" t="s">
        <v>89</v>
      </c>
      <c r="F9" t="s">
        <v>73</v>
      </c>
      <c r="G9">
        <v>0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ProjectMachine M2.QueueNumber WaitingQueue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25">
      <c r="A10" t="s">
        <v>67</v>
      </c>
      <c r="B10" t="s">
        <v>70</v>
      </c>
      <c r="C10">
        <v>1</v>
      </c>
      <c r="D10" t="s">
        <v>75</v>
      </c>
      <c r="E10" t="s">
        <v>90</v>
      </c>
      <c r="F10" t="s">
        <v>77</v>
      </c>
      <c r="G10">
        <v>1.7991999999999999</v>
      </c>
      <c r="H10">
        <v>1.8656337222541701E-3</v>
      </c>
      <c r="I10">
        <v>0</v>
      </c>
      <c r="J10">
        <v>2</v>
      </c>
      <c r="K10">
        <v>2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ProjectP1WIPEntity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1.7991999999999999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1.7991999999999999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1.7991999999999999</v>
      </c>
      <c r="U10">
        <f>IF((ContinuousStatsTable[[#This Row],[RepsRequested]]&gt;1),ContinuousStatsTable[[#This Row],[HalfWidth]],ContinuousStatsTable[[#This Row],[BatchMeansHalfWidth]])</f>
        <v>1.8656337222541701E-3</v>
      </c>
    </row>
  </sheetData>
  <phoneticPr fontId="2" type="noConversion"/>
  <conditionalFormatting sqref="H2:H10">
    <cfRule type="expression" dxfId="11" priority="9">
      <formula>H2=200000000000000000000</formula>
    </cfRule>
  </conditionalFormatting>
  <conditionalFormatting sqref="H2:H10">
    <cfRule type="expression" dxfId="10" priority="7">
      <formula>H2=300000000000000000000</formula>
    </cfRule>
  </conditionalFormatting>
  <conditionalFormatting sqref="M2:U10">
    <cfRule type="expression" dxfId="9" priority="5">
      <formula>MOD(ROW(),2)=0</formula>
    </cfRule>
  </conditionalFormatting>
  <conditionalFormatting sqref="U2:U10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0 U2:U10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3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67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91</v>
      </c>
      <c r="E2" t="s">
        <v>92</v>
      </c>
      <c r="F2" t="s">
        <v>85</v>
      </c>
      <c r="G2">
        <v>1001</v>
      </c>
      <c r="H2">
        <v>0</v>
      </c>
      <c r="I2" t="str">
        <f>OutputTable[[#This Row],[ProjectName]]&amp;OutputTable[[#This Row],[Name]]&amp;OutputTable[[#This Row],[Type]]&amp;OutputTable[[#This Row],[Source]]</f>
        <v>Unnamed ProjectM1.NumberSeizedTotal Number SeizedResource</v>
      </c>
      <c r="J2">
        <f t="array" ref="J2">MAX(IF((ProjectInfoTable[ProjectName]=OutputTable[[#This Row],[ProjectName]]),(ProjectInfoTable[ProjectName]=OutputTable[[#This Row],[ProjectName]])*ProjectInfoTable[NumberOfReplications]))</f>
        <v>1</v>
      </c>
      <c r="K2">
        <f t="array" ref="K2">IFERROR(AVERAGE(IF((OutputTable[GroupByKey]=OutputTable[[#This Row],[GroupByKey]]),(OutputTable[GroupByKey]=OutputTable[[#This Row],[GroupByKey]])*OutputTable[RecordedValue])),0)</f>
        <v>1001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>
        <f t="array" ref="O2">MIN(IF((OutputTable[GroupByKey]=OutputTable[[#This Row],[GroupByKey]]),(OutputTable[GroupByKey]=OutputTable[[#This Row],[GroupByKey]])*OutputTable[RecordedValue]))</f>
        <v>1001</v>
      </c>
      <c r="P2">
        <f t="array" ref="P2">MAX(IF((OutputTable[GroupByKey]=OutputTable[[#This Row],[GroupByKey]]),(OutputTable[GroupByKey]=OutputTable[[#This Row],[GroupByKey]])*OutputTable[RecordedValue]))</f>
        <v>1001</v>
      </c>
    </row>
    <row r="3" spans="1:16" x14ac:dyDescent="0.25">
      <c r="A3" t="s">
        <v>67</v>
      </c>
      <c r="B3" t="s">
        <v>70</v>
      </c>
      <c r="C3">
        <v>1</v>
      </c>
      <c r="D3" t="s">
        <v>93</v>
      </c>
      <c r="E3" t="s">
        <v>94</v>
      </c>
      <c r="F3" t="s">
        <v>85</v>
      </c>
      <c r="G3">
        <v>0.8</v>
      </c>
      <c r="H3">
        <v>0</v>
      </c>
      <c r="I3" t="str">
        <f>OutputTable[[#This Row],[ProjectName]]&amp;OutputTable[[#This Row],[Name]]&amp;OutputTable[[#This Row],[Type]]&amp;OutputTable[[#This Row],[Source]]</f>
        <v>Unnamed ProjectM1.ScheduledUtilizationScheduled UtilizationResource</v>
      </c>
      <c r="J3">
        <f t="array" ref="J3">MAX(IF((ProjectInfoTable[ProjectName]=OutputTable[[#This Row],[ProjectName]]),(ProjectInfoTable[ProjectName]=OutputTable[[#This Row],[ProjectName]])*ProjectInfoTable[NumberOfReplications]))</f>
        <v>1</v>
      </c>
      <c r="K3">
        <f t="array" ref="K3">IFERROR(AVERAGE(IF((OutputTable[GroupByKey]=OutputTable[[#This Row],[GroupByKey]]),(OutputTable[GroupByKey]=OutputTable[[#This Row],[GroupByKey]])*OutputTable[RecordedValue])),0)</f>
        <v>0.8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>
        <f t="array" ref="O3">MIN(IF((OutputTable[GroupByKey]=OutputTable[[#This Row],[GroupByKey]]),(OutputTable[GroupByKey]=OutputTable[[#This Row],[GroupByKey]])*OutputTable[RecordedValue]))</f>
        <v>0.8</v>
      </c>
      <c r="P3">
        <f t="array" ref="P3">MAX(IF((OutputTable[GroupByKey]=OutputTable[[#This Row],[GroupByKey]]),(OutputTable[GroupByKey]=OutputTable[[#This Row],[GroupByKey]])*OutputTable[RecordedValue]))</f>
        <v>0.8</v>
      </c>
    </row>
    <row r="4" spans="1:16" x14ac:dyDescent="0.25">
      <c r="A4" t="s">
        <v>67</v>
      </c>
      <c r="B4" t="s">
        <v>70</v>
      </c>
      <c r="C4">
        <v>1</v>
      </c>
      <c r="D4" t="s">
        <v>95</v>
      </c>
      <c r="E4" t="s">
        <v>92</v>
      </c>
      <c r="F4" t="s">
        <v>85</v>
      </c>
      <c r="G4">
        <v>1000</v>
      </c>
      <c r="H4">
        <v>0</v>
      </c>
      <c r="I4" t="str">
        <f>OutputTable[[#This Row],[ProjectName]]&amp;OutputTable[[#This Row],[Name]]&amp;OutputTable[[#This Row],[Type]]&amp;OutputTable[[#This Row],[Source]]</f>
        <v>Unnamed ProjectM2.NumberSeizedTotal Number SeizedResource</v>
      </c>
      <c r="J4">
        <f t="array" ref="J4">MAX(IF((ProjectInfoTable[ProjectName]=OutputTable[[#This Row],[ProjectName]]),(ProjectInfoTable[ProjectName]=OutputTable[[#This Row],[ProjectName]])*ProjectInfoTable[NumberOfReplications]))</f>
        <v>1</v>
      </c>
      <c r="K4">
        <f t="array" ref="K4">IFERROR(AVERAGE(IF((OutputTable[GroupByKey]=OutputTable[[#This Row],[GroupByKey]]),(OutputTable[GroupByKey]=OutputTable[[#This Row],[GroupByKey]])*OutputTable[RecordedValue])),0)</f>
        <v>1000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>
        <f t="array" ref="O4">MIN(IF((OutputTable[GroupByKey]=OutputTable[[#This Row],[GroupByKey]]),(OutputTable[GroupByKey]=OutputTable[[#This Row],[GroupByKey]])*OutputTable[RecordedValue]))</f>
        <v>1000</v>
      </c>
      <c r="P4">
        <f t="array" ref="P4">MAX(IF((OutputTable[GroupByKey]=OutputTable[[#This Row],[GroupByKey]]),(OutputTable[GroupByKey]=OutputTable[[#This Row],[GroupByKey]])*OutputTable[RecordedValue]))</f>
        <v>1000</v>
      </c>
    </row>
    <row r="5" spans="1:16" x14ac:dyDescent="0.25">
      <c r="A5" t="s">
        <v>67</v>
      </c>
      <c r="B5" t="s">
        <v>70</v>
      </c>
      <c r="C5">
        <v>1</v>
      </c>
      <c r="D5" t="s">
        <v>96</v>
      </c>
      <c r="E5" t="s">
        <v>94</v>
      </c>
      <c r="F5" t="s">
        <v>85</v>
      </c>
      <c r="G5">
        <v>0.99920000000000098</v>
      </c>
      <c r="H5">
        <v>0</v>
      </c>
      <c r="I5" t="str">
        <f>OutputTable[[#This Row],[ProjectName]]&amp;OutputTable[[#This Row],[Name]]&amp;OutputTable[[#This Row],[Type]]&amp;OutputTable[[#This Row],[Source]]</f>
        <v>Unnamed ProjectM2.ScheduledUtilizationScheduled UtilizationResource</v>
      </c>
      <c r="J5">
        <f t="array" ref="J5">MAX(IF((ProjectInfoTable[ProjectName]=OutputTable[[#This Row],[ProjectName]]),(ProjectInfoTable[ProjectName]=OutputTable[[#This Row],[ProjectName]])*ProjectInfoTable[NumberOfReplications]))</f>
        <v>1</v>
      </c>
      <c r="K5">
        <f t="array" ref="K5">IFERROR(AVERAGE(IF((OutputTable[GroupByKey]=OutputTable[[#This Row],[GroupByKey]]),(OutputTable[GroupByKey]=OutputTable[[#This Row],[GroupByKey]])*OutputTable[RecordedValue])),0)</f>
        <v>0.99920000000000098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>
        <f t="array" ref="O5">MIN(IF((OutputTable[GroupByKey]=OutputTable[[#This Row],[GroupByKey]]),(OutputTable[GroupByKey]=OutputTable[[#This Row],[GroupByKey]])*OutputTable[RecordedValue]))</f>
        <v>0.99920000000000098</v>
      </c>
      <c r="P5">
        <f t="array" ref="P5">MAX(IF((OutputTable[GroupByKey]=OutputTable[[#This Row],[GroupByKey]]),(OutputTable[GroupByKey]=OutputTable[[#This Row],[GroupByKey]])*OutputTable[RecordedValue]))</f>
        <v>0.99920000000000098</v>
      </c>
    </row>
    <row r="6" spans="1:16" x14ac:dyDescent="0.25">
      <c r="A6" t="s">
        <v>67</v>
      </c>
      <c r="B6" t="s">
        <v>70</v>
      </c>
      <c r="C6">
        <v>1</v>
      </c>
      <c r="D6" t="s">
        <v>97</v>
      </c>
      <c r="E6" t="s">
        <v>98</v>
      </c>
      <c r="F6" t="s">
        <v>77</v>
      </c>
      <c r="G6">
        <v>1001</v>
      </c>
      <c r="H6">
        <v>0</v>
      </c>
      <c r="I6" t="str">
        <f>OutputTable[[#This Row],[ProjectName]]&amp;OutputTable[[#This Row],[Name]]&amp;OutputTable[[#This Row],[Type]]&amp;OutputTable[[#This Row],[Source]]</f>
        <v>Unnamed ProjectP1.NumberInNumber InEntity</v>
      </c>
      <c r="J6">
        <f t="array" ref="J6">MAX(IF((ProjectInfoTable[ProjectName]=OutputTable[[#This Row],[ProjectName]]),(ProjectInfoTable[ProjectName]=OutputTable[[#This Row],[ProjectName]])*ProjectInfoTable[NumberOfReplications]))</f>
        <v>1</v>
      </c>
      <c r="K6">
        <f t="array" ref="K6">IFERROR(AVERAGE(IF((OutputTable[GroupByKey]=OutputTable[[#This Row],[GroupByKey]]),(OutputTable[GroupByKey]=OutputTable[[#This Row],[GroupByKey]])*OutputTable[RecordedValue])),0)</f>
        <v>1001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>
        <f t="array" ref="O6">MIN(IF((OutputTable[GroupByKey]=OutputTable[[#This Row],[GroupByKey]]),(OutputTable[GroupByKey]=OutputTable[[#This Row],[GroupByKey]])*OutputTable[RecordedValue]))</f>
        <v>1001</v>
      </c>
      <c r="P6">
        <f t="array" ref="P6">MAX(IF((OutputTable[GroupByKey]=OutputTable[[#This Row],[GroupByKey]]),(OutputTable[GroupByKey]=OutputTable[[#This Row],[GroupByKey]])*OutputTable[RecordedValue]))</f>
        <v>1001</v>
      </c>
    </row>
    <row r="7" spans="1:16" x14ac:dyDescent="0.25">
      <c r="A7" t="s">
        <v>67</v>
      </c>
      <c r="B7" t="s">
        <v>70</v>
      </c>
      <c r="C7">
        <v>1</v>
      </c>
      <c r="D7" t="s">
        <v>99</v>
      </c>
      <c r="E7" t="s">
        <v>100</v>
      </c>
      <c r="F7" t="s">
        <v>77</v>
      </c>
      <c r="G7">
        <v>999</v>
      </c>
      <c r="H7">
        <v>0</v>
      </c>
      <c r="I7" t="str">
        <f>OutputTable[[#This Row],[ProjectName]]&amp;OutputTable[[#This Row],[Name]]&amp;OutputTable[[#This Row],[Type]]&amp;OutputTable[[#This Row],[Source]]</f>
        <v>Unnamed ProjectP1.NumberOutNumber OutEntity</v>
      </c>
      <c r="J7">
        <f t="array" ref="J7">MAX(IF((ProjectInfoTable[ProjectName]=OutputTable[[#This Row],[ProjectName]]),(ProjectInfoTable[ProjectName]=OutputTable[[#This Row],[ProjectName]])*ProjectInfoTable[NumberOfReplications]))</f>
        <v>1</v>
      </c>
      <c r="K7">
        <f t="array" ref="K7">IFERROR(AVERAGE(IF((OutputTable[GroupByKey]=OutputTable[[#This Row],[GroupByKey]]),(OutputTable[GroupByKey]=OutputTable[[#This Row],[GroupByKey]])*OutputTable[RecordedValue])),0)</f>
        <v>999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>
        <f t="array" ref="O7">MIN(IF((OutputTable[GroupByKey]=OutputTable[[#This Row],[GroupByKey]]),(OutputTable[GroupByKey]=OutputTable[[#This Row],[GroupByKey]])*OutputTable[RecordedValue]))</f>
        <v>999</v>
      </c>
      <c r="P7">
        <f t="array" ref="P7">MAX(IF((OutputTable[GroupByKey]=OutputTable[[#This Row],[GroupByKey]]),(OutputTable[GroupByKey]=OutputTable[[#This Row],[GroupByKey]])*OutputTable[RecordedValue]))</f>
        <v>999</v>
      </c>
    </row>
    <row r="8" spans="1:16" x14ac:dyDescent="0.25">
      <c r="A8" t="s">
        <v>67</v>
      </c>
      <c r="B8" t="s">
        <v>70</v>
      </c>
      <c r="C8">
        <v>1</v>
      </c>
      <c r="D8" t="s">
        <v>101</v>
      </c>
      <c r="E8" t="s">
        <v>100</v>
      </c>
      <c r="F8" t="s">
        <v>102</v>
      </c>
      <c r="G8">
        <v>999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>
        <f t="array" ref="J8">MAX(IF((ProjectInfoTable[ProjectName]=OutputTable[[#This Row],[ProjectName]]),(ProjectInfoTable[ProjectName]=OutputTable[[#This Row],[ProjectName]])*ProjectInfoTable[NumberOfReplications]))</f>
        <v>1</v>
      </c>
      <c r="K8">
        <f t="array" ref="K8">IFERROR(AVERAGE(IF((OutputTable[GroupByKey]=OutputTable[[#This Row],[GroupByKey]]),(OutputTable[GroupByKey]=OutputTable[[#This Row],[GroupByKey]])*OutputTable[RecordedValue])),0)</f>
        <v>999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>
        <f t="array" ref="O8">MIN(IF((OutputTable[GroupByKey]=OutputTable[[#This Row],[GroupByKey]]),(OutputTable[GroupByKey]=OutputTable[[#This Row],[GroupByKey]])*OutputTable[RecordedValue]))</f>
        <v>999</v>
      </c>
      <c r="P8">
        <f t="array" ref="P8">MAX(IF((OutputTable[GroupByKey]=OutputTable[[#This Row],[GroupByKey]]),(OutputTable[GroupByKey]=OutputTable[[#This Row],[GroupByKey]])*OutputTable[RecordedValue]))</f>
        <v>999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Youssef OUBELLA</cp:lastModifiedBy>
  <cp:lastPrinted>2022-03-22T10:33:10Z</cp:lastPrinted>
  <dcterms:created xsi:type="dcterms:W3CDTF">2020-06-29T21:30:31Z</dcterms:created>
  <dcterms:modified xsi:type="dcterms:W3CDTF">2026-06-21T14:27:57Z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